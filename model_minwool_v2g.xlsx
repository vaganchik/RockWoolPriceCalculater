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\Мой диск\Obsidian\Рабочий день\2026\02\"/>
    </mc:Choice>
  </mc:AlternateContent>
  <xr:revisionPtr revIDLastSave="0" documentId="13_ncr:1_{020D94A0-B680-4A59-B7FE-2CE0854D218C}" xr6:coauthVersionLast="47" xr6:coauthVersionMax="47" xr10:uidLastSave="{00000000-0000-0000-0000-000000000000}"/>
  <bookViews>
    <workbookView xWindow="-110" yWindow="-110" windowWidth="25820" windowHeight="15620" activeTab="1" xr2:uid="{00000000-000D-0000-FFFF-FFFF00000000}"/>
  </bookViews>
  <sheets>
    <sheet name="Вводные" sheetId="1" r:id="rId1"/>
    <sheet name="Себестоимость_т" sheetId="2" r:id="rId2"/>
    <sheet name="Сценарии_м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3" l="1"/>
  <c r="G5" i="3" s="1"/>
  <c r="E18" i="2"/>
  <c r="F15" i="2"/>
  <c r="F13" i="2"/>
  <c r="F14" i="2"/>
  <c r="C16" i="2"/>
  <c r="P8" i="3"/>
  <c r="E8" i="3"/>
  <c r="C8" i="3"/>
  <c r="D8" i="3" s="1"/>
  <c r="F8" i="3" s="1"/>
  <c r="B8" i="3"/>
  <c r="A8" i="3"/>
  <c r="P7" i="3"/>
  <c r="E7" i="3"/>
  <c r="C7" i="3"/>
  <c r="D7" i="3" s="1"/>
  <c r="F7" i="3" s="1"/>
  <c r="B7" i="3"/>
  <c r="A7" i="3"/>
  <c r="P6" i="3"/>
  <c r="E6" i="3"/>
  <c r="D6" i="3"/>
  <c r="F6" i="3" s="1"/>
  <c r="C6" i="3"/>
  <c r="B6" i="3"/>
  <c r="A6" i="3"/>
  <c r="P5" i="3"/>
  <c r="F5" i="3"/>
  <c r="D5" i="3"/>
  <c r="C5" i="3"/>
  <c r="B5" i="3"/>
  <c r="A5" i="3"/>
  <c r="C15" i="2"/>
  <c r="C14" i="2"/>
  <c r="C9" i="2"/>
  <c r="C7" i="2"/>
  <c r="C6" i="2"/>
  <c r="C34" i="1"/>
  <c r="C20" i="1"/>
  <c r="C13" i="2" s="1"/>
  <c r="G19" i="1"/>
  <c r="C11" i="1"/>
  <c r="C5" i="2" s="1"/>
  <c r="C8" i="2" s="1"/>
  <c r="C10" i="2" s="1"/>
  <c r="F16" i="2" l="1"/>
  <c r="G7" i="3"/>
  <c r="G6" i="3"/>
  <c r="H5" i="3"/>
  <c r="I5" i="3"/>
  <c r="J5" i="3"/>
  <c r="G8" i="3"/>
  <c r="M6" i="3" l="1"/>
  <c r="N6" i="3" s="1"/>
  <c r="M8" i="3"/>
  <c r="N8" i="3" s="1"/>
  <c r="M7" i="3"/>
  <c r="N7" i="3" s="1"/>
  <c r="M5" i="3"/>
  <c r="N5" i="3" s="1"/>
  <c r="K5" i="3"/>
  <c r="Q5" i="3" s="1"/>
  <c r="L5" i="3"/>
  <c r="I6" i="3"/>
  <c r="H6" i="3"/>
  <c r="J6" i="3"/>
  <c r="I8" i="3"/>
  <c r="J8" i="3"/>
  <c r="H8" i="3"/>
  <c r="J7" i="3"/>
  <c r="I7" i="3"/>
  <c r="H7" i="3"/>
  <c r="K7" i="3" l="1"/>
  <c r="Q7" i="3" s="1"/>
  <c r="L7" i="3"/>
  <c r="O5" i="3"/>
  <c r="R5" i="3"/>
  <c r="R7" i="3"/>
  <c r="O7" i="3"/>
  <c r="L6" i="3"/>
  <c r="K6" i="3"/>
  <c r="Q6" i="3" s="1"/>
  <c r="O8" i="3"/>
  <c r="K8" i="3"/>
  <c r="Q8" i="3" s="1"/>
  <c r="R8" i="3" s="1"/>
  <c r="L8" i="3"/>
  <c r="R6" i="3"/>
  <c r="O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C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Массовая производительность линии. Если держите в диапазоне — считайте константой.</t>
        </r>
      </text>
    </comment>
    <comment ref="C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Учитывает потери/брак/обрезь. Если потерь нет — 1.0 (но обычно 0.95–0.99).</t>
        </r>
      </text>
    </comment>
    <comment ref="C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Сухие органические вещества в готовой вате (2.5 / 3.5 / 4.5%).</t>
        </r>
      </text>
    </comment>
    <comment ref="C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Цена жидкой/мокрой смолы на входе.</t>
        </r>
      </text>
    </comment>
    <comment ref="C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Доля сухих веществ в смоле по паспорту (например 0.50–0.55).</t>
        </r>
      </text>
    </comment>
    <comment ref="C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Удержание/потери при распыле (1.0 — идеал).</t>
        </r>
      </text>
    </comment>
    <comment ref="C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Автоматически: LOI% / 100</t>
        </r>
      </text>
    </comment>
    <comment ref="C15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Оценка для модели. Замените на данные учёта.</t>
        </r>
      </text>
    </comment>
    <comment ref="G15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Оценка для модели. Замените на фактические нормы/цены.</t>
        </r>
      </text>
    </comment>
    <comment ref="C16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Оценка для модели. Замените на данные учёта.</t>
        </r>
      </text>
    </comment>
    <comment ref="G16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Оценка для модели. Замените на фактические нормы/цены.</t>
        </r>
      </text>
    </comment>
    <comment ref="C17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Оценка для модели. Замените на данные учёта.</t>
        </r>
      </text>
    </comment>
    <comment ref="G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Оценка для модели. Замените на фактические нормы/цены.</t>
        </r>
      </text>
    </comment>
    <comment ref="C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Оценка для модели. Замените на данные учёта.</t>
        </r>
      </text>
    </comment>
    <comment ref="G18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Оценка для модели. Замените на фактические нормы/цены.</t>
        </r>
      </text>
    </comment>
    <comment ref="C19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Оценка для модели. Замените на данные учёта.</t>
        </r>
      </text>
    </comment>
    <comment ref="C24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Типовой размер 1200 мм. Измените под ваш ассортимент.</t>
        </r>
      </text>
    </comment>
    <comment ref="G24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Ограничение для удобства/логистики (уточните под вашу практику).</t>
        </r>
      </text>
    </comment>
    <comment ref="C25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Типовой размер 600 мм.</t>
        </r>
      </text>
    </comment>
    <comment ref="G25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Ограничение массы пачки (уточните под вашу практику).</t>
        </r>
      </text>
    </comment>
    <comment ref="C26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Для сценариев пользователь задал 50 мм.</t>
        </r>
      </text>
    </comment>
    <comment ref="G2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Целевой лимит высоты штабеля/палеты.</t>
        </r>
      </text>
    </comment>
    <comment ref="G27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Типовой европоддон ~144 мм.</t>
        </r>
      </text>
    </comment>
    <comment ref="G28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Введите фактическое количество пачек на поддоне для расчёта удельной стоимости поддона и обвязки.</t>
        </r>
      </text>
    </comment>
    <comment ref="G2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Материалы индивидуальной упаковки пачки.</t>
        </r>
      </text>
    </comment>
    <comment ref="G30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Если поддоны возвращаемые — учтите иначе.</t>
        </r>
      </text>
    </comment>
    <comment ref="G3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Стрейч, лента, уголки.</t>
        </r>
      </text>
    </comment>
    <comment ref="G3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Если хотите учитывать труд упаковки — задайте руб/пачка.</t>
        </r>
      </text>
    </comment>
    <comment ref="C34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V = L·W·t</t>
        </r>
      </text>
    </comment>
    <comment ref="B37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Список сценариев. Можно менять/расширять.</t>
        </r>
      </text>
    </comment>
    <comment ref="C37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Список сценариев. Можно менять/расширять.</t>
        </r>
      </text>
    </comment>
    <comment ref="D37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Список сценариев. Можно менять/расширять.</t>
        </r>
      </text>
    </comment>
    <comment ref="E3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Список сценариев. Можно менять/расширять.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C8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m_wet = (x_org·1000)/(S·η)</t>
        </r>
      </text>
    </comment>
    <comment ref="C1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C_fixed_t = (C_fixed_h / Qm) / Y</t>
        </r>
      </text>
    </comment>
    <comment ref="F16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C_var_t = (C_var_ex + C_resin) / Y</t>
        </r>
      </text>
    </comment>
  </commentList>
</comments>
</file>

<file path=xl/sharedStrings.xml><?xml version="1.0" encoding="utf-8"?>
<sst xmlns="http://schemas.openxmlformats.org/spreadsheetml/2006/main" count="128" uniqueCount="94">
  <si>
    <t>Модель себестоимости минеральной ваты (без подгонки под таргет)</t>
  </si>
  <si>
    <t>Все синие поля — ввод пользователя. Чёрные — формулы. Упаковка считается отдельным блоком; её можно включать/выключать в сценариях.</t>
  </si>
  <si>
    <t>1) Продукт и производство</t>
  </si>
  <si>
    <t>Производительность по массе Qm</t>
  </si>
  <si>
    <t>т/ч</t>
  </si>
  <si>
    <t>Выход годной продукции Y</t>
  </si>
  <si>
    <t>доля</t>
  </si>
  <si>
    <t>Доля сухой органики в продукте (LOI)</t>
  </si>
  <si>
    <t>% масс.</t>
  </si>
  <si>
    <t>Цена смолы (как поставляется)</t>
  </si>
  <si>
    <t>руб/т</t>
  </si>
  <si>
    <t>Сухой остаток смолы S</t>
  </si>
  <si>
    <t>Эффективность нанесения η</t>
  </si>
  <si>
    <t>Доля сухой органики x_org</t>
  </si>
  <si>
    <t>2) Затраты (вводная структура)</t>
  </si>
  <si>
    <t>2.1 Постоянные/условно‑постоянные (руб/ч)</t>
  </si>
  <si>
    <t>2.2 Переменные на тонну (руб/т)</t>
  </si>
  <si>
    <t>ФОТ производства (смена)</t>
  </si>
  <si>
    <t>руб/ч</t>
  </si>
  <si>
    <t>Шихта/сырьё без смолы</t>
  </si>
  <si>
    <t>Цеховые накладные</t>
  </si>
  <si>
    <t>Энергия (газ+электро)</t>
  </si>
  <si>
    <t>Ремонт/обслуживание (пул)</t>
  </si>
  <si>
    <t>Расходники на выпуск</t>
  </si>
  <si>
    <t>Амортизация/лизинг</t>
  </si>
  <si>
    <t>Прочие переменные</t>
  </si>
  <si>
    <t>Прочие фиксированные</t>
  </si>
  <si>
    <t>ИТОГО переменные (без смолы)</t>
  </si>
  <si>
    <t>ИТОГО фиксированные</t>
  </si>
  <si>
    <t>3) Геометрия плит и упаковка (в пачки)</t>
  </si>
  <si>
    <t>3.1 Геометрия</t>
  </si>
  <si>
    <t>3.2 Параметры упаковки</t>
  </si>
  <si>
    <t>Длина плиты L</t>
  </si>
  <si>
    <t>м</t>
  </si>
  <si>
    <t>Макс. высота пачки h_pack_max</t>
  </si>
  <si>
    <t>Ширина плиты W</t>
  </si>
  <si>
    <t>Макс. масса пачки m_pack_max</t>
  </si>
  <si>
    <t>кг</t>
  </si>
  <si>
    <t>Толщина плиты t</t>
  </si>
  <si>
    <t>Макс. высота палеты H_pallet_max</t>
  </si>
  <si>
    <t>Высота поддона h_pallet</t>
  </si>
  <si>
    <t>Пачек на поддон N_pallet</t>
  </si>
  <si>
    <t>пачек/поддон</t>
  </si>
  <si>
    <t>Стоимость плёнки/маркировки</t>
  </si>
  <si>
    <t>руб/пачка</t>
  </si>
  <si>
    <t>Стоимость поддона</t>
  </si>
  <si>
    <t>руб/поддон</t>
  </si>
  <si>
    <t>Обвязка/стрейч палеты</t>
  </si>
  <si>
    <t>руб/палета</t>
  </si>
  <si>
    <t>Упаковка: труд</t>
  </si>
  <si>
    <t>Объём плиты V_plate</t>
  </si>
  <si>
    <t>м³</t>
  </si>
  <si>
    <t>4) Сценарии плотности (ρ)</t>
  </si>
  <si>
    <t>Плотности (кг/м³)</t>
  </si>
  <si>
    <t>Примечание по умолчаниям: числа в блоках затрат поставлены как реалистичные заглушки для оценки. Замените их на фактические нормы/цены/учётные данные.</t>
  </si>
  <si>
    <t>Себестоимость производства (без упаковки) — расчёт на 1 т товарной ваты</t>
  </si>
  <si>
    <t>Все входные берутся с листа «Вводные». Здесь показана декомпозиция по блокам и итог.</t>
  </si>
  <si>
    <t>1) Смола (расчёт по сухому остатку)</t>
  </si>
  <si>
    <t>Расход смолы (как поставляется)</t>
  </si>
  <si>
    <t>кг/т</t>
  </si>
  <si>
    <t>Цена смолы</t>
  </si>
  <si>
    <t>Стоимость смолы</t>
  </si>
  <si>
    <t>2) Затраты (по блокам)</t>
  </si>
  <si>
    <t>Фиксированные затраты</t>
  </si>
  <si>
    <t>Переменные (без смолы)</t>
  </si>
  <si>
    <t>Производительность Qm</t>
  </si>
  <si>
    <t>Смола</t>
  </si>
  <si>
    <t>Выход годной Y</t>
  </si>
  <si>
    <t>Переменные всего</t>
  </si>
  <si>
    <t>Фиксированные на 1 т (с учётом Y)</t>
  </si>
  <si>
    <t>Переменные на 1 т (с учётом Y)</t>
  </si>
  <si>
    <t>ИТОГО себестоимость производства (без упаковки)</t>
  </si>
  <si>
    <t>Формула: C_prod_t = (C_fixed_h / Qm)/Y + (C_var_ex + C_resin)/Y</t>
  </si>
  <si>
    <t>Сценарии по плотности: пересчёт в руб/м³ и упаковка в пачки</t>
  </si>
  <si>
    <t>Упаковка как производственный расход считается отдельно. Если нужно считать только «без упаковки» — смотрите колонки C_prod, руб/м³ и C_prod, руб/пачка.</t>
  </si>
  <si>
    <t>ρ, кг/м³</t>
  </si>
  <si>
    <t>t, м</t>
  </si>
  <si>
    <t>V плиты, м³</t>
  </si>
  <si>
    <t>m плиты, кг</t>
  </si>
  <si>
    <t>Плит/пачка (по высоте)</t>
  </si>
  <si>
    <t>Плит/пачка (по массе)</t>
  </si>
  <si>
    <t>Плит/пачка (итог)</t>
  </si>
  <si>
    <t>h пачки, м</t>
  </si>
  <si>
    <t>m пачки, кг</t>
  </si>
  <si>
    <t>V пачки, м³</t>
  </si>
  <si>
    <t>Пачек/м³</t>
  </si>
  <si>
    <t>Пачек/т</t>
  </si>
  <si>
    <t>C_prod, руб/т</t>
  </si>
  <si>
    <t>C_prod, руб/м³</t>
  </si>
  <si>
    <t>C_prod, руб/пачка</t>
  </si>
  <si>
    <t>Упаковка, руб/пачка</t>
  </si>
  <si>
    <t>Упаковка, руб/м³</t>
  </si>
  <si>
    <t>ИТОГО, руб/м³</t>
  </si>
  <si>
    <t>Примечание: «Пачек на поддон N_pallet» задаётся вручную (вводные). Без этой цифры невозможно корректно распределить стоимость поддона/обвязки по пачкам.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</si>
</sst>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0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1"/>
      <name val="Calibri"/>
    </font>
    <font>
      <i/>
      <sz val="10"/>
      <name val="Calibri"/>
    </font>
    <font>
      <b/>
      <sz val="12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</borders>
  <cellStyleXfs count="2">
    <xf numFmtId="0" fontId="0" fillId="0" borderId="0"/>
    <xf numFmtId="0" fontId="9" fillId="0" borderId="0"/>
  </cellStyleXfs>
  <cellXfs count="35">
    <xf numFmtId="0" fontId="0" fillId="0" borderId="0" xfId="0"/>
    <xf numFmtId="0" fontId="3" fillId="2" borderId="0" xfId="1" applyFont="1" applyFill="1" applyAlignment="1">
      <alignment horizontal="left" vertical="center" wrapText="1"/>
    </xf>
    <xf numFmtId="0" fontId="0" fillId="0" borderId="0" xfId="1" applyFont="1" applyAlignment="1">
      <alignment horizontal="left" vertical="center" wrapText="1"/>
    </xf>
    <xf numFmtId="0" fontId="0" fillId="0" borderId="0" xfId="1" applyFont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3" fontId="4" fillId="0" borderId="1" xfId="1" applyNumberFormat="1" applyFont="1" applyBorder="1" applyAlignment="1">
      <alignment horizontal="center" vertical="center" wrapText="1"/>
    </xf>
    <xf numFmtId="0" fontId="5" fillId="0" borderId="0" xfId="1" applyFont="1"/>
    <xf numFmtId="3" fontId="0" fillId="0" borderId="1" xfId="1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 wrapText="1"/>
    </xf>
    <xf numFmtId="166" fontId="0" fillId="0" borderId="1" xfId="1" applyNumberFormat="1" applyFont="1" applyBorder="1" applyAlignment="1">
      <alignment horizontal="center" vertical="center" wrapText="1"/>
    </xf>
    <xf numFmtId="0" fontId="6" fillId="0" borderId="0" xfId="1" applyFont="1" applyAlignment="1">
      <alignment vertical="top" wrapText="1"/>
    </xf>
    <xf numFmtId="2" fontId="0" fillId="0" borderId="1" xfId="1" applyNumberFormat="1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 wrapText="1"/>
    </xf>
    <xf numFmtId="0" fontId="7" fillId="3" borderId="0" xfId="1" applyFont="1" applyFill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165" fontId="8" fillId="0" borderId="1" xfId="1" applyNumberFormat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center" wrapText="1"/>
    </xf>
    <xf numFmtId="2" fontId="8" fillId="0" borderId="1" xfId="1" applyNumberFormat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5" fillId="3" borderId="0" xfId="1" applyFont="1" applyFill="1"/>
    <xf numFmtId="0" fontId="0" fillId="0" borderId="0" xfId="0"/>
    <xf numFmtId="0" fontId="3" fillId="2" borderId="0" xfId="1" applyFont="1" applyFill="1" applyAlignment="1">
      <alignment horizontal="left" vertical="center" wrapText="1"/>
    </xf>
    <xf numFmtId="0" fontId="2" fillId="0" borderId="0" xfId="1" applyFont="1" applyAlignment="1">
      <alignment vertical="top" wrapText="1"/>
    </xf>
    <xf numFmtId="0" fontId="1" fillId="0" borderId="0" xfId="1" applyFont="1"/>
    <xf numFmtId="0" fontId="7" fillId="3" borderId="0" xfId="1" applyFont="1" applyFill="1"/>
    <xf numFmtId="0" fontId="3" fillId="2" borderId="0" xfId="1" applyFont="1" applyFill="1"/>
    <xf numFmtId="0" fontId="6" fillId="0" borderId="0" xfId="1" applyFont="1"/>
    <xf numFmtId="3" fontId="7" fillId="3" borderId="1" xfId="1" applyNumberFormat="1" applyFont="1" applyFill="1" applyBorder="1" applyAlignment="1">
      <alignment horizontal="center" vertical="center" wrapText="1"/>
    </xf>
    <xf numFmtId="0" fontId="0" fillId="0" borderId="2" xfId="1" applyFont="1" applyBorder="1"/>
    <xf numFmtId="0" fontId="6" fillId="0" borderId="1" xfId="1" applyFont="1" applyBorder="1" applyAlignment="1">
      <alignment vertical="top" wrapText="1"/>
    </xf>
    <xf numFmtId="0" fontId="0" fillId="0" borderId="3" xfId="1" applyFont="1" applyBorder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27347e21b98642a0" Type="http://schemas.microsoft.com/office/2017/10/relationships/person" Target="persons/perso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63500</xdr:colOff>
      <xdr:row>27</xdr:row>
      <xdr:rowOff>50800</xdr:rowOff>
    </xdr:to>
    <xdr:sp macro="" textlink="">
      <xdr:nvSpPr>
        <xdr:cNvPr id="1058" name="Text Box 34" hidden="1">
          <a:extLst>
            <a:ext uri="{FF2B5EF4-FFF2-40B4-BE49-F238E27FC236}">
              <a16:creationId xmlns:a16="http://schemas.microsoft.com/office/drawing/2014/main" id="{07395D3A-A914-B55F-4359-C185ECD7852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203200</xdr:colOff>
      <xdr:row>33</xdr:row>
      <xdr:rowOff>38100</xdr:rowOff>
    </xdr:to>
    <xdr:sp macro="" textlink="">
      <xdr:nvSpPr>
        <xdr:cNvPr id="2052" name="Text Box 4" hidden="1">
          <a:extLst>
            <a:ext uri="{FF2B5EF4-FFF2-40B4-BE49-F238E27FC236}">
              <a16:creationId xmlns:a16="http://schemas.microsoft.com/office/drawing/2014/main" id="{F18B900B-2783-942B-70D4-2153AD26400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model" id="{DCC916FB-5FCD-2B91-5A3A-0674D2E4D43C}"/>
  <xltc:person displayName="model" id="{64A4A6B1-22E6-D7EE-8FE7-C1974FF6F47E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showGridLines="0" topLeftCell="A16" workbookViewId="0">
      <selection activeCell="G28" sqref="G28"/>
    </sheetView>
  </sheetViews>
  <sheetFormatPr defaultRowHeight="14.5" x14ac:dyDescent="0.35"/>
  <cols>
    <col min="1" max="1" width="32" customWidth="1"/>
    <col min="2" max="2" width="22" customWidth="1"/>
    <col min="3" max="4" width="18" customWidth="1"/>
    <col min="5" max="5" width="31.7265625" customWidth="1"/>
    <col min="6" max="8" width="18" customWidth="1"/>
  </cols>
  <sheetData>
    <row r="1" spans="1:8" ht="28" customHeight="1" x14ac:dyDescent="0.45">
      <c r="A1" s="27" t="s">
        <v>0</v>
      </c>
      <c r="B1" s="24"/>
      <c r="C1" s="24"/>
      <c r="D1" s="24"/>
      <c r="E1" s="24"/>
      <c r="F1" s="24"/>
      <c r="G1" s="24"/>
      <c r="H1" s="24"/>
    </row>
    <row r="2" spans="1:8" ht="36" customHeight="1" x14ac:dyDescent="0.35">
      <c r="A2" s="26" t="s">
        <v>1</v>
      </c>
      <c r="B2" s="24"/>
      <c r="C2" s="24"/>
      <c r="D2" s="24"/>
      <c r="E2" s="24"/>
      <c r="F2" s="24"/>
      <c r="G2" s="24"/>
      <c r="H2" s="24"/>
    </row>
    <row r="4" spans="1:8" ht="20" customHeight="1" x14ac:dyDescent="0.35">
      <c r="A4" s="25" t="s">
        <v>2</v>
      </c>
      <c r="B4" s="24"/>
      <c r="C4" s="24"/>
      <c r="D4" s="24"/>
      <c r="E4" s="24"/>
      <c r="F4" s="24"/>
      <c r="G4" s="24"/>
      <c r="H4" s="24"/>
    </row>
    <row r="5" spans="1:8" x14ac:dyDescent="0.35">
      <c r="A5" s="2" t="s">
        <v>3</v>
      </c>
      <c r="B5" s="3" t="s">
        <v>4</v>
      </c>
      <c r="C5" s="4">
        <v>4</v>
      </c>
    </row>
    <row r="6" spans="1:8" x14ac:dyDescent="0.35">
      <c r="A6" s="2" t="s">
        <v>5</v>
      </c>
      <c r="B6" s="3" t="s">
        <v>6</v>
      </c>
      <c r="C6" s="4">
        <v>0.97</v>
      </c>
    </row>
    <row r="7" spans="1:8" ht="29" x14ac:dyDescent="0.35">
      <c r="A7" s="2" t="s">
        <v>7</v>
      </c>
      <c r="B7" s="3" t="s">
        <v>8</v>
      </c>
      <c r="C7" s="4">
        <v>4.5</v>
      </c>
    </row>
    <row r="8" spans="1:8" x14ac:dyDescent="0.35">
      <c r="A8" s="2" t="s">
        <v>9</v>
      </c>
      <c r="B8" s="3" t="s">
        <v>10</v>
      </c>
      <c r="C8" s="4">
        <v>60000</v>
      </c>
    </row>
    <row r="9" spans="1:8" x14ac:dyDescent="0.35">
      <c r="A9" s="2" t="s">
        <v>11</v>
      </c>
      <c r="B9" s="3" t="s">
        <v>6</v>
      </c>
      <c r="C9" s="4">
        <v>0.5</v>
      </c>
    </row>
    <row r="10" spans="1:8" x14ac:dyDescent="0.35">
      <c r="A10" s="2" t="s">
        <v>12</v>
      </c>
      <c r="B10" s="3" t="s">
        <v>6</v>
      </c>
      <c r="C10" s="4">
        <v>0.95</v>
      </c>
    </row>
    <row r="11" spans="1:8" x14ac:dyDescent="0.35">
      <c r="A11" s="2" t="s">
        <v>13</v>
      </c>
      <c r="B11" s="3" t="s">
        <v>6</v>
      </c>
      <c r="C11" s="5">
        <f>C7/100</f>
        <v>4.4999999999999998E-2</v>
      </c>
    </row>
    <row r="12" spans="1:8" ht="6" customHeight="1" x14ac:dyDescent="0.35"/>
    <row r="13" spans="1:8" x14ac:dyDescent="0.35">
      <c r="A13" s="25" t="s">
        <v>14</v>
      </c>
      <c r="B13" s="24"/>
      <c r="C13" s="24"/>
      <c r="D13" s="24"/>
      <c r="E13" s="24"/>
      <c r="F13" s="24"/>
      <c r="G13" s="24"/>
      <c r="H13" s="24"/>
    </row>
    <row r="14" spans="1:8" x14ac:dyDescent="0.35">
      <c r="A14" s="23" t="s">
        <v>15</v>
      </c>
      <c r="B14" s="24"/>
      <c r="C14" s="24"/>
      <c r="D14" s="24"/>
      <c r="E14" s="23" t="s">
        <v>16</v>
      </c>
      <c r="F14" s="24"/>
      <c r="G14" s="24"/>
      <c r="H14" s="24"/>
    </row>
    <row r="15" spans="1:8" ht="29" x14ac:dyDescent="0.35">
      <c r="A15" s="2" t="s">
        <v>17</v>
      </c>
      <c r="B15" s="3" t="s">
        <v>18</v>
      </c>
      <c r="C15" s="6">
        <v>35000</v>
      </c>
      <c r="E15" s="2" t="s">
        <v>19</v>
      </c>
      <c r="F15" s="3" t="s">
        <v>10</v>
      </c>
      <c r="G15" s="6">
        <v>18000</v>
      </c>
    </row>
    <row r="16" spans="1:8" ht="29" x14ac:dyDescent="0.35">
      <c r="A16" s="2" t="s">
        <v>20</v>
      </c>
      <c r="B16" s="3" t="s">
        <v>18</v>
      </c>
      <c r="C16" s="6">
        <v>20000</v>
      </c>
      <c r="E16" s="2" t="s">
        <v>21</v>
      </c>
      <c r="F16" s="3" t="s">
        <v>10</v>
      </c>
      <c r="G16" s="6">
        <v>12000</v>
      </c>
    </row>
    <row r="17" spans="1:8" ht="29" x14ac:dyDescent="0.35">
      <c r="A17" s="2" t="s">
        <v>22</v>
      </c>
      <c r="B17" s="3" t="s">
        <v>18</v>
      </c>
      <c r="C17" s="6">
        <v>8000</v>
      </c>
      <c r="E17" s="2" t="s">
        <v>23</v>
      </c>
      <c r="F17" s="3" t="s">
        <v>10</v>
      </c>
      <c r="G17" s="6">
        <v>2500</v>
      </c>
    </row>
    <row r="18" spans="1:8" ht="29" x14ac:dyDescent="0.35">
      <c r="A18" s="2" t="s">
        <v>24</v>
      </c>
      <c r="B18" s="3" t="s">
        <v>18</v>
      </c>
      <c r="C18" s="6">
        <v>12000</v>
      </c>
      <c r="E18" s="2" t="s">
        <v>25</v>
      </c>
      <c r="F18" s="3" t="s">
        <v>10</v>
      </c>
      <c r="G18" s="6">
        <v>1000</v>
      </c>
    </row>
    <row r="19" spans="1:8" x14ac:dyDescent="0.35">
      <c r="A19" s="2" t="s">
        <v>26</v>
      </c>
      <c r="B19" s="3" t="s">
        <v>18</v>
      </c>
      <c r="C19" s="6">
        <v>5000</v>
      </c>
      <c r="E19" s="7" t="s">
        <v>27</v>
      </c>
      <c r="G19" s="8">
        <f>SUM(G15:G18)</f>
        <v>33500</v>
      </c>
    </row>
    <row r="20" spans="1:8" x14ac:dyDescent="0.35">
      <c r="A20" s="7" t="s">
        <v>28</v>
      </c>
      <c r="C20" s="8">
        <f>SUM(C15:C19)</f>
        <v>80000</v>
      </c>
    </row>
    <row r="22" spans="1:8" x14ac:dyDescent="0.35">
      <c r="A22" s="25" t="s">
        <v>29</v>
      </c>
      <c r="B22" s="24"/>
      <c r="C22" s="24"/>
      <c r="D22" s="24"/>
      <c r="E22" s="24"/>
      <c r="F22" s="24"/>
      <c r="G22" s="24"/>
      <c r="H22" s="24"/>
    </row>
    <row r="23" spans="1:8" x14ac:dyDescent="0.35">
      <c r="A23" s="23" t="s">
        <v>30</v>
      </c>
      <c r="B23" s="24"/>
      <c r="C23" s="24"/>
      <c r="D23" s="24"/>
      <c r="E23" s="23" t="s">
        <v>31</v>
      </c>
      <c r="F23" s="24"/>
      <c r="G23" s="24"/>
      <c r="H23" s="24"/>
    </row>
    <row r="24" spans="1:8" x14ac:dyDescent="0.35">
      <c r="A24" t="s">
        <v>32</v>
      </c>
      <c r="B24" s="3" t="s">
        <v>33</v>
      </c>
      <c r="C24" s="9">
        <v>1.2</v>
      </c>
      <c r="E24" t="s">
        <v>34</v>
      </c>
      <c r="F24" s="3" t="s">
        <v>33</v>
      </c>
      <c r="G24" s="9">
        <v>0.6</v>
      </c>
    </row>
    <row r="25" spans="1:8" x14ac:dyDescent="0.35">
      <c r="A25" t="s">
        <v>35</v>
      </c>
      <c r="B25" s="3" t="s">
        <v>33</v>
      </c>
      <c r="C25" s="9">
        <v>0.6</v>
      </c>
      <c r="E25" t="s">
        <v>36</v>
      </c>
      <c r="F25" s="3" t="s">
        <v>37</v>
      </c>
      <c r="G25" s="9">
        <v>25</v>
      </c>
    </row>
    <row r="26" spans="1:8" x14ac:dyDescent="0.35">
      <c r="A26" t="s">
        <v>38</v>
      </c>
      <c r="B26" s="3" t="s">
        <v>33</v>
      </c>
      <c r="C26" s="9">
        <v>0.05</v>
      </c>
      <c r="E26" t="s">
        <v>39</v>
      </c>
      <c r="F26" s="3" t="s">
        <v>33</v>
      </c>
      <c r="G26" s="9">
        <v>2.4</v>
      </c>
    </row>
    <row r="27" spans="1:8" x14ac:dyDescent="0.35">
      <c r="E27" t="s">
        <v>40</v>
      </c>
      <c r="F27" s="3" t="s">
        <v>33</v>
      </c>
      <c r="G27" s="9">
        <v>0.15</v>
      </c>
    </row>
    <row r="28" spans="1:8" ht="29" x14ac:dyDescent="0.35">
      <c r="E28" s="2" t="s">
        <v>41</v>
      </c>
      <c r="F28" s="3" t="s">
        <v>42</v>
      </c>
      <c r="G28" s="10">
        <v>12</v>
      </c>
    </row>
    <row r="29" spans="1:8" x14ac:dyDescent="0.35">
      <c r="E29" t="s">
        <v>43</v>
      </c>
      <c r="F29" s="3" t="s">
        <v>44</v>
      </c>
      <c r="G29" s="6">
        <v>35</v>
      </c>
    </row>
    <row r="30" spans="1:8" x14ac:dyDescent="0.35">
      <c r="E30" t="s">
        <v>45</v>
      </c>
      <c r="F30" s="3" t="s">
        <v>46</v>
      </c>
      <c r="G30" s="6">
        <v>350</v>
      </c>
    </row>
    <row r="31" spans="1:8" x14ac:dyDescent="0.35">
      <c r="E31" t="s">
        <v>47</v>
      </c>
      <c r="F31" s="3" t="s">
        <v>48</v>
      </c>
      <c r="G31" s="6">
        <v>80</v>
      </c>
    </row>
    <row r="32" spans="1:8" x14ac:dyDescent="0.35">
      <c r="E32" t="s">
        <v>49</v>
      </c>
      <c r="F32" s="3" t="s">
        <v>44</v>
      </c>
      <c r="G32" s="6">
        <v>0</v>
      </c>
    </row>
    <row r="34" spans="1:8" x14ac:dyDescent="0.35">
      <c r="A34" s="7" t="s">
        <v>50</v>
      </c>
      <c r="B34" s="3" t="s">
        <v>51</v>
      </c>
      <c r="C34" s="11">
        <f>C24*C25*C26</f>
        <v>3.5999999999999997E-2</v>
      </c>
    </row>
    <row r="35" spans="1:8" x14ac:dyDescent="0.35">
      <c r="A35" s="24"/>
      <c r="B35" s="24"/>
      <c r="C35" s="24"/>
      <c r="D35" s="24"/>
      <c r="E35" s="24"/>
      <c r="F35" s="24"/>
      <c r="G35" s="24"/>
      <c r="H35" s="24"/>
    </row>
    <row r="36" spans="1:8" x14ac:dyDescent="0.35">
      <c r="A36" s="1" t="s">
        <v>52</v>
      </c>
    </row>
    <row r="37" spans="1:8" x14ac:dyDescent="0.35">
      <c r="A37" s="7" t="s">
        <v>53</v>
      </c>
      <c r="B37" s="10">
        <v>50</v>
      </c>
      <c r="C37" s="10">
        <v>100</v>
      </c>
      <c r="D37" s="10">
        <v>150</v>
      </c>
      <c r="E37" s="10">
        <v>200</v>
      </c>
    </row>
    <row r="38" spans="1:8" ht="34" customHeight="1" x14ac:dyDescent="0.35">
      <c r="A38" s="24"/>
      <c r="B38" s="24"/>
      <c r="C38" s="24"/>
      <c r="D38" s="24"/>
      <c r="E38" s="24"/>
      <c r="F38" s="24"/>
      <c r="G38" s="24"/>
      <c r="H38" s="24"/>
    </row>
    <row r="39" spans="1:8" ht="65" x14ac:dyDescent="0.35">
      <c r="A39" s="12" t="s">
        <v>54</v>
      </c>
    </row>
  </sheetData>
  <mergeCells count="11">
    <mergeCell ref="A38:H38"/>
    <mergeCell ref="A2:H2"/>
    <mergeCell ref="A22:H22"/>
    <mergeCell ref="A13:H13"/>
    <mergeCell ref="A1:H1"/>
    <mergeCell ref="A14:D14"/>
    <mergeCell ref="E14:H14"/>
    <mergeCell ref="A4:H4"/>
    <mergeCell ref="A23:D23"/>
    <mergeCell ref="E23:H23"/>
    <mergeCell ref="A35:H35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tabSelected="1" workbookViewId="0">
      <selection activeCell="C22" sqref="C22"/>
    </sheetView>
  </sheetViews>
  <sheetFormatPr defaultRowHeight="14.5" x14ac:dyDescent="0.35"/>
  <cols>
    <col min="1" max="1" width="34" customWidth="1"/>
    <col min="2" max="3" width="18" customWidth="1"/>
    <col min="4" max="4" width="33.08984375" customWidth="1"/>
    <col min="5" max="6" width="18" customWidth="1"/>
  </cols>
  <sheetData>
    <row r="1" spans="1:6" ht="18.5" x14ac:dyDescent="0.45">
      <c r="A1" s="27" t="s">
        <v>55</v>
      </c>
      <c r="B1" s="24"/>
      <c r="C1" s="24"/>
      <c r="D1" s="24"/>
      <c r="E1" s="24"/>
      <c r="F1" s="24"/>
    </row>
    <row r="2" spans="1:6" ht="28" customHeight="1" x14ac:dyDescent="0.35">
      <c r="A2" s="26" t="s">
        <v>56</v>
      </c>
      <c r="B2" s="24"/>
      <c r="C2" s="24"/>
      <c r="D2" s="24"/>
      <c r="E2" s="24"/>
      <c r="F2" s="24"/>
    </row>
    <row r="4" spans="1:6" x14ac:dyDescent="0.35">
      <c r="A4" s="29" t="s">
        <v>57</v>
      </c>
      <c r="B4" s="24"/>
      <c r="C4" s="24"/>
      <c r="D4" s="24"/>
      <c r="E4" s="24"/>
      <c r="F4" s="24"/>
    </row>
    <row r="5" spans="1:6" x14ac:dyDescent="0.35">
      <c r="A5" t="s">
        <v>13</v>
      </c>
      <c r="B5" s="3" t="s">
        <v>6</v>
      </c>
      <c r="C5" s="5">
        <f>Вводные!C11</f>
        <v>4.4999999999999998E-2</v>
      </c>
    </row>
    <row r="6" spans="1:6" x14ac:dyDescent="0.35">
      <c r="A6" t="s">
        <v>11</v>
      </c>
      <c r="B6" s="3" t="s">
        <v>6</v>
      </c>
      <c r="C6" s="13">
        <f>Вводные!C9</f>
        <v>0.5</v>
      </c>
    </row>
    <row r="7" spans="1:6" x14ac:dyDescent="0.35">
      <c r="A7" t="s">
        <v>12</v>
      </c>
      <c r="B7" s="3" t="s">
        <v>6</v>
      </c>
      <c r="C7" s="13">
        <f>Вводные!C10</f>
        <v>0.95</v>
      </c>
    </row>
    <row r="8" spans="1:6" x14ac:dyDescent="0.35">
      <c r="A8" t="s">
        <v>58</v>
      </c>
      <c r="B8" s="3" t="s">
        <v>59</v>
      </c>
      <c r="C8" s="14">
        <f>1000* C5/(C6*C7)</f>
        <v>94.736842105263165</v>
      </c>
    </row>
    <row r="9" spans="1:6" x14ac:dyDescent="0.35">
      <c r="A9" t="s">
        <v>60</v>
      </c>
      <c r="B9" s="3" t="s">
        <v>10</v>
      </c>
      <c r="C9" s="8">
        <f>Вводные!C8</f>
        <v>60000</v>
      </c>
    </row>
    <row r="10" spans="1:6" x14ac:dyDescent="0.35">
      <c r="A10" t="s">
        <v>61</v>
      </c>
      <c r="B10" s="3" t="s">
        <v>10</v>
      </c>
      <c r="C10" s="8">
        <f>C8/1000*C9</f>
        <v>5684.21052631579</v>
      </c>
    </row>
    <row r="12" spans="1:6" x14ac:dyDescent="0.35">
      <c r="A12" s="29" t="s">
        <v>62</v>
      </c>
      <c r="B12" s="24"/>
      <c r="C12" s="24"/>
      <c r="D12" s="24"/>
      <c r="E12" s="24"/>
      <c r="F12" s="24"/>
    </row>
    <row r="13" spans="1:6" x14ac:dyDescent="0.35">
      <c r="A13" s="7" t="s">
        <v>63</v>
      </c>
      <c r="B13" s="3" t="s">
        <v>18</v>
      </c>
      <c r="C13" s="8">
        <f>Вводные!C20</f>
        <v>80000</v>
      </c>
      <c r="D13" s="7" t="s">
        <v>64</v>
      </c>
      <c r="E13" s="3" t="s">
        <v>10</v>
      </c>
      <c r="F13" s="8">
        <f>Вводные!G19</f>
        <v>33500</v>
      </c>
    </row>
    <row r="14" spans="1:6" x14ac:dyDescent="0.35">
      <c r="A14" t="s">
        <v>65</v>
      </c>
      <c r="B14" s="3" t="s">
        <v>4</v>
      </c>
      <c r="C14" s="13">
        <f>Вводные!C5</f>
        <v>4</v>
      </c>
      <c r="D14" t="s">
        <v>66</v>
      </c>
      <c r="E14" s="3" t="s">
        <v>10</v>
      </c>
      <c r="F14" s="8">
        <f>C10</f>
        <v>5684.21052631579</v>
      </c>
    </row>
    <row r="15" spans="1:6" x14ac:dyDescent="0.35">
      <c r="A15" t="s">
        <v>67</v>
      </c>
      <c r="B15" s="3" t="s">
        <v>6</v>
      </c>
      <c r="C15" s="13">
        <f>Вводные!C6</f>
        <v>0.97</v>
      </c>
      <c r="D15" s="7" t="s">
        <v>68</v>
      </c>
      <c r="E15" s="3" t="s">
        <v>10</v>
      </c>
      <c r="F15" s="8">
        <f>F13+F14</f>
        <v>39184.210526315786</v>
      </c>
    </row>
    <row r="16" spans="1:6" x14ac:dyDescent="0.35">
      <c r="A16" t="s">
        <v>69</v>
      </c>
      <c r="B16" s="3" t="s">
        <v>10</v>
      </c>
      <c r="C16" s="8">
        <f>C13/C14/C15</f>
        <v>20618.556701030928</v>
      </c>
      <c r="D16" t="s">
        <v>70</v>
      </c>
      <c r="E16" s="3" t="s">
        <v>10</v>
      </c>
      <c r="F16" s="8">
        <f>F15/C15</f>
        <v>40396.093326098751</v>
      </c>
    </row>
    <row r="18" spans="1:6" ht="15.5" x14ac:dyDescent="0.35">
      <c r="A18" s="28" t="s">
        <v>71</v>
      </c>
      <c r="B18" s="24"/>
      <c r="C18" s="24"/>
      <c r="D18" s="15" t="s">
        <v>10</v>
      </c>
      <c r="E18" s="31">
        <f>C16+F16</f>
        <v>61014.650027129683</v>
      </c>
      <c r="F18" s="32"/>
    </row>
    <row r="20" spans="1:6" x14ac:dyDescent="0.35">
      <c r="A20" s="30" t="s">
        <v>72</v>
      </c>
      <c r="B20" s="24"/>
      <c r="C20" s="24"/>
      <c r="D20" s="24"/>
      <c r="E20" s="24"/>
      <c r="F20" s="24"/>
    </row>
  </sheetData>
  <mergeCells count="7">
    <mergeCell ref="A20:F20"/>
    <mergeCell ref="E18:F18"/>
    <mergeCell ref="A2:F2"/>
    <mergeCell ref="A1:F1"/>
    <mergeCell ref="A18:C18"/>
    <mergeCell ref="A12:F12"/>
    <mergeCell ref="A4:F4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9"/>
  <sheetViews>
    <sheetView showGridLines="0" workbookViewId="0">
      <selection activeCell="N5" sqref="N5"/>
    </sheetView>
  </sheetViews>
  <sheetFormatPr defaultRowHeight="14.5" x14ac:dyDescent="0.35"/>
  <cols>
    <col min="1" max="1" width="10" customWidth="1"/>
    <col min="2" max="2" width="8" customWidth="1"/>
    <col min="3" max="4" width="12" customWidth="1"/>
    <col min="5" max="7" width="14" customWidth="1"/>
    <col min="8" max="8" width="10" customWidth="1"/>
    <col min="9" max="10" width="12" customWidth="1"/>
    <col min="11" max="12" width="10" customWidth="1"/>
    <col min="13" max="14" width="12" customWidth="1"/>
    <col min="15" max="16" width="14" customWidth="1"/>
    <col min="17" max="18" width="12" customWidth="1"/>
  </cols>
  <sheetData>
    <row r="1" spans="1:18" ht="18.5" x14ac:dyDescent="0.45">
      <c r="A1" s="27" t="s">
        <v>73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30" customHeight="1" x14ac:dyDescent="0.35">
      <c r="A2" s="26" t="s">
        <v>74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4" spans="1:18" ht="40" customHeight="1" x14ac:dyDescent="0.35">
      <c r="A4" s="16" t="s">
        <v>75</v>
      </c>
      <c r="B4" s="16" t="s">
        <v>76</v>
      </c>
      <c r="C4" s="16" t="s">
        <v>77</v>
      </c>
      <c r="D4" s="16" t="s">
        <v>78</v>
      </c>
      <c r="E4" s="16" t="s">
        <v>79</v>
      </c>
      <c r="F4" s="16" t="s">
        <v>80</v>
      </c>
      <c r="G4" s="16" t="s">
        <v>81</v>
      </c>
      <c r="H4" s="16" t="s">
        <v>82</v>
      </c>
      <c r="I4" s="16" t="s">
        <v>83</v>
      </c>
      <c r="J4" s="16" t="s">
        <v>84</v>
      </c>
      <c r="K4" s="16" t="s">
        <v>85</v>
      </c>
      <c r="L4" s="16" t="s">
        <v>86</v>
      </c>
      <c r="M4" s="16" t="s">
        <v>87</v>
      </c>
      <c r="N4" s="16" t="s">
        <v>88</v>
      </c>
      <c r="O4" s="16" t="s">
        <v>89</v>
      </c>
      <c r="P4" s="16" t="s">
        <v>90</v>
      </c>
      <c r="Q4" s="16" t="s">
        <v>91</v>
      </c>
      <c r="R4" s="16" t="s">
        <v>92</v>
      </c>
    </row>
    <row r="5" spans="1:18" x14ac:dyDescent="0.35">
      <c r="A5" s="17">
        <f>Вводные!B37</f>
        <v>50</v>
      </c>
      <c r="B5" s="18">
        <f>Вводные!C26</f>
        <v>0.05</v>
      </c>
      <c r="C5" s="19">
        <f>Вводные!C24*Вводные!C25*Вводные!C26</f>
        <v>3.5999999999999997E-2</v>
      </c>
      <c r="D5" s="20">
        <f>C5*A5</f>
        <v>1.7999999999999998</v>
      </c>
      <c r="E5" s="17">
        <f>ROUNDDOWN(ROUND(Вводные!G24/B5,6),0)</f>
        <v>12</v>
      </c>
      <c r="F5" s="17">
        <f>ROUNDDOWN(ROUND(Вводные!G25/D5,6),0)</f>
        <v>13</v>
      </c>
      <c r="G5" s="17">
        <f>MAX(1,MIN(E5,F5))</f>
        <v>12</v>
      </c>
      <c r="H5" s="18">
        <f>G5*B5</f>
        <v>0.60000000000000009</v>
      </c>
      <c r="I5" s="20">
        <f>G5*D5</f>
        <v>21.599999999999998</v>
      </c>
      <c r="J5" s="19">
        <f>G5*C5</f>
        <v>0.43199999999999994</v>
      </c>
      <c r="K5" s="20">
        <f>1/J5</f>
        <v>2.3148148148148153</v>
      </c>
      <c r="L5" s="20">
        <f>(1000/A5)/J5</f>
        <v>46.296296296296305</v>
      </c>
      <c r="M5" s="21">
        <f>Себестоимость_т!E18</f>
        <v>61014.650027129683</v>
      </c>
      <c r="N5" s="21">
        <f>M5*A5/1000</f>
        <v>3050.7325013564846</v>
      </c>
      <c r="O5" s="21">
        <f>N5*J5</f>
        <v>1317.9164405860013</v>
      </c>
      <c r="P5" s="21">
        <f>Вводные!G29+Вводные!G32+(Вводные!G30+Вводные!G31)/Вводные!G28</f>
        <v>70.833333333333343</v>
      </c>
      <c r="Q5" s="21">
        <f>P5*K5</f>
        <v>163.96604938271611</v>
      </c>
      <c r="R5" s="21">
        <f>N5+Q5</f>
        <v>3214.6985507392005</v>
      </c>
    </row>
    <row r="6" spans="1:18" x14ac:dyDescent="0.35">
      <c r="A6" s="17">
        <f>Вводные!C37</f>
        <v>100</v>
      </c>
      <c r="B6" s="18">
        <f>Вводные!C26</f>
        <v>0.05</v>
      </c>
      <c r="C6" s="19">
        <f>Вводные!C24*Вводные!C25*Вводные!C26</f>
        <v>3.5999999999999997E-2</v>
      </c>
      <c r="D6" s="20">
        <f>C6*A6</f>
        <v>3.5999999999999996</v>
      </c>
      <c r="E6" s="17">
        <f>ROUNDDOWN(ROUND(Вводные!G24/B6,6),0)</f>
        <v>12</v>
      </c>
      <c r="F6" s="17">
        <f>ROUNDDOWN(ROUND(Вводные!G25/D6,6),0)</f>
        <v>6</v>
      </c>
      <c r="G6" s="17">
        <f>MAX(1,MIN(E6,F6))</f>
        <v>6</v>
      </c>
      <c r="H6" s="18">
        <f>G6*B6</f>
        <v>0.30000000000000004</v>
      </c>
      <c r="I6" s="20">
        <f>G6*D6</f>
        <v>21.599999999999998</v>
      </c>
      <c r="J6" s="19">
        <f>G6*C6</f>
        <v>0.21599999999999997</v>
      </c>
      <c r="K6" s="20">
        <f>1/J6</f>
        <v>4.6296296296296306</v>
      </c>
      <c r="L6" s="20">
        <f>(1000/A6)/J6</f>
        <v>46.296296296296305</v>
      </c>
      <c r="M6" s="21">
        <f>Себестоимость_т!E18</f>
        <v>61014.650027129683</v>
      </c>
      <c r="N6" s="21">
        <f>M6*A6/1000</f>
        <v>6101.4650027129692</v>
      </c>
      <c r="O6" s="21">
        <f>N6*J6</f>
        <v>1317.9164405860013</v>
      </c>
      <c r="P6" s="21">
        <f>Вводные!G29+Вводные!G32+(Вводные!G30+Вводные!G31)/Вводные!G28</f>
        <v>70.833333333333343</v>
      </c>
      <c r="Q6" s="21">
        <f>P6*K6</f>
        <v>327.93209876543222</v>
      </c>
      <c r="R6" s="21">
        <f>N6+Q6</f>
        <v>6429.3971014784011</v>
      </c>
    </row>
    <row r="7" spans="1:18" x14ac:dyDescent="0.35">
      <c r="A7" s="17">
        <f>Вводные!D37</f>
        <v>150</v>
      </c>
      <c r="B7" s="18">
        <f>Вводные!C26</f>
        <v>0.05</v>
      </c>
      <c r="C7" s="19">
        <f>Вводные!C24*Вводные!C25*Вводные!C26</f>
        <v>3.5999999999999997E-2</v>
      </c>
      <c r="D7" s="20">
        <f>C7*A7</f>
        <v>5.3999999999999995</v>
      </c>
      <c r="E7" s="17">
        <f>ROUNDDOWN(ROUND(Вводные!G24/B7,6),0)</f>
        <v>12</v>
      </c>
      <c r="F7" s="17">
        <f>ROUNDDOWN(ROUND(Вводные!G25/D7,6),0)</f>
        <v>4</v>
      </c>
      <c r="G7" s="17">
        <f>MAX(1,MIN(E7,F7))</f>
        <v>4</v>
      </c>
      <c r="H7" s="18">
        <f>G7*B7</f>
        <v>0.2</v>
      </c>
      <c r="I7" s="20">
        <f>G7*D7</f>
        <v>21.599999999999998</v>
      </c>
      <c r="J7" s="19">
        <f>G7*C7</f>
        <v>0.14399999999999999</v>
      </c>
      <c r="K7" s="20">
        <f>1/J7</f>
        <v>6.9444444444444446</v>
      </c>
      <c r="L7" s="20">
        <f>(1000/A7)/J7</f>
        <v>46.296296296296305</v>
      </c>
      <c r="M7" s="21">
        <f>Себестоимость_т!E18</f>
        <v>61014.650027129683</v>
      </c>
      <c r="N7" s="21">
        <f>M7*A7/1000</f>
        <v>9152.1975040694524</v>
      </c>
      <c r="O7" s="21">
        <f>N7*J7</f>
        <v>1317.916440586001</v>
      </c>
      <c r="P7" s="21">
        <f>Вводные!G29+Вводные!G32+(Вводные!G30+Вводные!G31)/Вводные!G28</f>
        <v>70.833333333333343</v>
      </c>
      <c r="Q7" s="21">
        <f>P7*K7</f>
        <v>491.89814814814821</v>
      </c>
      <c r="R7" s="21">
        <f>N7+Q7</f>
        <v>9644.0956522176002</v>
      </c>
    </row>
    <row r="8" spans="1:18" x14ac:dyDescent="0.35">
      <c r="A8" s="17">
        <f>Вводные!E37</f>
        <v>200</v>
      </c>
      <c r="B8" s="18">
        <f>Вводные!C26</f>
        <v>0.05</v>
      </c>
      <c r="C8" s="19">
        <f>Вводные!C24*Вводные!C25*Вводные!C26</f>
        <v>3.5999999999999997E-2</v>
      </c>
      <c r="D8" s="20">
        <f>C8*A8</f>
        <v>7.1999999999999993</v>
      </c>
      <c r="E8" s="17">
        <f>ROUNDDOWN(ROUND(Вводные!G24/B8,6),0)</f>
        <v>12</v>
      </c>
      <c r="F8" s="17">
        <f>ROUNDDOWN(ROUND(Вводные!G25/D8,6),0)</f>
        <v>3</v>
      </c>
      <c r="G8" s="17">
        <f>MAX(1,MIN(E8,F8))</f>
        <v>3</v>
      </c>
      <c r="H8" s="18">
        <f>G8*B8</f>
        <v>0.15000000000000002</v>
      </c>
      <c r="I8" s="20">
        <f>G8*D8</f>
        <v>21.599999999999998</v>
      </c>
      <c r="J8" s="19">
        <f>G8*C8</f>
        <v>0.10799999999999998</v>
      </c>
      <c r="K8" s="20">
        <f>1/J8</f>
        <v>9.2592592592592613</v>
      </c>
      <c r="L8" s="20">
        <f>(1000/A8)/J8</f>
        <v>46.296296296296305</v>
      </c>
      <c r="M8" s="21">
        <f>Себестоимость_т!E18</f>
        <v>61014.650027129683</v>
      </c>
      <c r="N8" s="21">
        <f>M8*A8/1000</f>
        <v>12202.930005425938</v>
      </c>
      <c r="O8" s="21">
        <f>N8*J8</f>
        <v>1317.9164405860013</v>
      </c>
      <c r="P8" s="21">
        <f>Вводные!G29+Вводные!G32+(Вводные!G30+Вводные!G31)/Вводные!G28</f>
        <v>70.833333333333343</v>
      </c>
      <c r="Q8" s="21">
        <f>P8*K8</f>
        <v>655.86419753086443</v>
      </c>
      <c r="R8" s="21">
        <f>N8+Q8</f>
        <v>12858.794202956802</v>
      </c>
    </row>
    <row r="9" spans="1:18" x14ac:dyDescent="0.3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</row>
    <row r="10" spans="1:18" ht="32" customHeight="1" x14ac:dyDescent="0.35">
      <c r="A10" s="33" t="s">
        <v>93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2"/>
    </row>
    <row r="11" spans="1:18" x14ac:dyDescent="0.3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</row>
    <row r="12" spans="1:18" x14ac:dyDescent="0.3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</row>
    <row r="13" spans="1:18" x14ac:dyDescent="0.3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</row>
    <row r="14" spans="1:18" x14ac:dyDescent="0.3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</row>
    <row r="15" spans="1:18" x14ac:dyDescent="0.3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1:18" x14ac:dyDescent="0.3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1:18" x14ac:dyDescent="0.3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 spans="1:18" x14ac:dyDescent="0.3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x14ac:dyDescent="0.3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</sheetData>
  <mergeCells count="3">
    <mergeCell ref="A1:R1"/>
    <mergeCell ref="A2:R2"/>
    <mergeCell ref="A10:R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Вводные</vt:lpstr>
      <vt:lpstr>Себестоимость_т</vt:lpstr>
      <vt:lpstr>Сценарии_м3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Ваган Аветисян</cp:lastModifiedBy>
  <dcterms:modified xsi:type="dcterms:W3CDTF">2026-02-18T01:32:34Z</dcterms:modified>
</cp:coreProperties>
</file>