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1" autoFilterDateGrouping="1"/>
  </bookViews>
  <sheets>
    <sheet xmlns:r="http://schemas.openxmlformats.org/officeDocument/2006/relationships" name="Вводные" sheetId="1" state="visible" r:id="rId1"/>
    <sheet xmlns:r="http://schemas.openxmlformats.org/officeDocument/2006/relationships" name="Себестоимость_т" sheetId="2" state="visible" r:id="rId2"/>
    <sheet xmlns:r="http://schemas.openxmlformats.org/officeDocument/2006/relationships" name="Сценарии_м3" sheetId="3" state="visible" r:id="rId3"/>
    <sheet xmlns:r="http://schemas.openxmlformats.org/officeDocument/2006/relationships" name="Упаковка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b val="1"/>
      <sz val="11"/>
    </font>
    <font>
      <name val="Calibri"/>
      <i val="1"/>
      <sz val="10"/>
    </font>
    <font>
      <name val="Calibri"/>
      <b val="1"/>
      <sz val="12"/>
    </font>
    <font>
      <name val="Calibri"/>
      <color rgb="FF000000"/>
      <sz val="11"/>
    </font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</borders>
  <cellStyleXfs count="2">
    <xf numFmtId="0" fontId="9" fillId="0" borderId="0"/>
    <xf numFmtId="0" fontId="9" fillId="0" borderId="0"/>
  </cellStyleXfs>
  <cellXfs count="41">
    <xf numFmtId="0" fontId="0" fillId="0" borderId="0" pivotButton="0" quotePrefix="0" xfId="0"/>
    <xf numFmtId="0" fontId="3" fillId="2" borderId="0" applyAlignment="1" pivotButton="0" quotePrefix="0" xfId="1">
      <alignment horizontal="left" vertical="center" wrapText="1"/>
    </xf>
    <xf numFmtId="0" fontId="0" fillId="0" borderId="0" applyAlignment="1" pivotButton="0" quotePrefix="0" xfId="1">
      <alignment horizontal="left" vertical="center" wrapText="1"/>
    </xf>
    <xf numFmtId="0" fontId="0" fillId="0" borderId="0" applyAlignment="1" pivotButton="0" quotePrefix="0" xfId="1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164" fontId="0" fillId="0" borderId="1" applyAlignment="1" pivotButton="0" quotePrefix="0" xfId="1">
      <alignment horizontal="center" vertical="center" wrapText="1"/>
    </xf>
    <xf numFmtId="3" fontId="4" fillId="0" borderId="1" applyAlignment="1" pivotButton="0" quotePrefix="0" xfId="1">
      <alignment horizontal="center" vertical="center" wrapText="1"/>
    </xf>
    <xf numFmtId="0" fontId="5" fillId="0" borderId="0" pivotButton="0" quotePrefix="0" xfId="1"/>
    <xf numFmtId="3" fontId="0" fillId="0" borderId="1" applyAlignment="1" pivotButton="0" quotePrefix="0" xfId="1">
      <alignment horizontal="center" vertical="center" wrapText="1"/>
    </xf>
    <xf numFmtId="165" fontId="4" fillId="0" borderId="1" applyAlignment="1" pivotButton="0" quotePrefix="0" xfId="1">
      <alignment horizontal="center" vertical="center" wrapText="1"/>
    </xf>
    <xf numFmtId="1" fontId="4" fillId="0" borderId="1" applyAlignment="1" pivotButton="0" quotePrefix="0" xfId="1">
      <alignment horizontal="center" vertical="center" wrapText="1"/>
    </xf>
    <xf numFmtId="166" fontId="0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vertical="top" wrapText="1"/>
    </xf>
    <xf numFmtId="2" fontId="0" fillId="0" borderId="1" applyAlignment="1" pivotButton="0" quotePrefix="0" xfId="1">
      <alignment horizontal="center" vertical="center" wrapText="1"/>
    </xf>
    <xf numFmtId="1" fontId="0" fillId="0" borderId="1" applyAlignment="1" pivotButton="0" quotePrefix="0" xfId="1">
      <alignment horizontal="center" vertical="center" wrapText="1"/>
    </xf>
    <xf numFmtId="0" fontId="7" fillId="3" borderId="0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1" fontId="8" fillId="0" borderId="1" applyAlignment="1" pivotButton="0" quotePrefix="0" xfId="1">
      <alignment horizontal="center" vertical="center" wrapText="1"/>
    </xf>
    <xf numFmtId="165" fontId="8" fillId="0" borderId="1" applyAlignment="1" pivotButton="0" quotePrefix="0" xfId="1">
      <alignment horizontal="center" vertical="center" wrapText="1"/>
    </xf>
    <xf numFmtId="166" fontId="8" fillId="0" borderId="1" applyAlignment="1" pivotButton="0" quotePrefix="0" xfId="1">
      <alignment horizontal="center" vertical="center" wrapText="1"/>
    </xf>
    <xf numFmtId="2" fontId="8" fillId="0" borderId="1" applyAlignment="1" pivotButton="0" quotePrefix="0" xfId="1">
      <alignment horizontal="center" vertical="center" wrapText="1"/>
    </xf>
    <xf numFmtId="3" fontId="8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5" fillId="3" borderId="0" pivotButton="0" quotePrefix="0" xfId="1"/>
    <xf numFmtId="0" fontId="0" fillId="0" borderId="0" pivotButton="0" quotePrefix="0" xfId="0"/>
    <xf numFmtId="0" fontId="3" fillId="2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vertical="top" wrapText="1"/>
    </xf>
    <xf numFmtId="0" fontId="1" fillId="0" borderId="0" pivotButton="0" quotePrefix="0" xfId="1"/>
    <xf numFmtId="0" fontId="7" fillId="3" borderId="0" pivotButton="0" quotePrefix="0" xfId="1"/>
    <xf numFmtId="0" fontId="3" fillId="2" borderId="0" pivotButton="0" quotePrefix="0" xfId="1"/>
    <xf numFmtId="0" fontId="6" fillId="0" borderId="0" pivotButton="0" quotePrefix="0" xfId="1"/>
    <xf numFmtId="3" fontId="7" fillId="3" borderId="1" applyAlignment="1" pivotButton="0" quotePrefix="0" xfId="1">
      <alignment horizontal="center" vertical="center" wrapText="1"/>
    </xf>
    <xf numFmtId="0" fontId="0" fillId="0" borderId="2" pivotButton="0" quotePrefix="0" xfId="1"/>
    <xf numFmtId="0" fontId="6" fillId="0" borderId="1" applyAlignment="1" pivotButton="0" quotePrefix="0" xfId="1">
      <alignment vertical="top" wrapText="1"/>
    </xf>
    <xf numFmtId="0" fontId="0" fillId="0" borderId="3" pivotButton="0" quotePrefix="0" xfId="1"/>
    <xf numFmtId="0" fontId="0" fillId="0" borderId="2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4" borderId="0" pivotButton="0" quotePrefix="0" xfId="0"/>
    <xf numFmtId="9" fontId="0" fillId="0" borderId="0" pivotButton="0" quotePrefix="0" xfId="0"/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model</author>
  </authors>
  <commentList>
    <comment ref="C5" authorId="0" shapeId="0">
      <text>
        <t>Массовая производительность линии. Если держите в диапазоне — считайте константой.</t>
      </text>
    </comment>
    <comment ref="C6" authorId="0" shapeId="0">
      <text>
        <t>Учитывает потери/брак/обрезь. Если потерь нет — 1.0 (но обычно 0.95–0.99).</t>
      </text>
    </comment>
    <comment ref="C7" authorId="0" shapeId="0">
      <text>
        <t>Сухие органические вещества в готовой вате (2.5 / 3.5 / 4.5%).</t>
      </text>
    </comment>
    <comment ref="C8" authorId="0" shapeId="0">
      <text>
        <t>Цена жидкой/мокрой смолы на входе.</t>
      </text>
    </comment>
    <comment ref="C9" authorId="0" shapeId="0">
      <text>
        <t>Доля сухих веществ в смоле по паспорту (например 0.50–0.55).</t>
      </text>
    </comment>
    <comment ref="C10" authorId="0" shapeId="0">
      <text>
        <t>Удержание/потери при распыле (1.0 — идеал).</t>
      </text>
    </comment>
    <comment ref="C11" authorId="0" shapeId="0">
      <text>
        <t>Автоматически: LOI% / 100</t>
      </text>
    </comment>
    <comment ref="C15" authorId="0" shapeId="0">
      <text>
        <t>Оценка для модели. Замените на данные учёта.</t>
      </text>
    </comment>
    <comment ref="G15" authorId="0" shapeId="0">
      <text>
        <t>Оценка для модели. Замените на фактические нормы/цены.</t>
      </text>
    </comment>
    <comment ref="C16" authorId="0" shapeId="0">
      <text>
        <t>Оценка для модели. Замените на данные учёта.</t>
      </text>
    </comment>
    <comment ref="G16" authorId="0" shapeId="0">
      <text>
        <t>Оценка для модели. Замените на фактические нормы/цены.</t>
      </text>
    </comment>
    <comment ref="C17" authorId="0" shapeId="0">
      <text>
        <t>Оценка для модели. Замените на данные учёта.</t>
      </text>
    </comment>
    <comment ref="G17" authorId="0" shapeId="0">
      <text>
        <t>Оценка для модели. Замените на фактические нормы/цены.</t>
      </text>
    </comment>
    <comment ref="C18" authorId="0" shapeId="0">
      <text>
        <t>Оценка для модели. Замените на данные учёта.</t>
      </text>
    </comment>
    <comment ref="G18" authorId="0" shapeId="0">
      <text>
        <t>Оценка для модели. Замените на фактические нормы/цены.</t>
      </text>
    </comment>
    <comment ref="C19" authorId="0" shapeId="0">
      <text>
        <t>Оценка для модели. Замените на данные учёта.</t>
      </text>
    </comment>
    <comment ref="C24" authorId="0" shapeId="0">
      <text>
        <t>Типовой размер 1200 мм. Измените под ваш ассортимент.</t>
      </text>
    </comment>
    <comment ref="G24" authorId="0" shapeId="0">
      <text>
        <t>Ограничение для удобства/логистики (уточните под вашу практику).</t>
      </text>
    </comment>
    <comment ref="C25" authorId="0" shapeId="0">
      <text>
        <t>Типовой размер 600 мм.</t>
      </text>
    </comment>
    <comment ref="G25" authorId="0" shapeId="0">
      <text>
        <t>Ограничение массы пачки (уточните под вашу практику).</t>
      </text>
    </comment>
    <comment ref="C26" authorId="0" shapeId="0">
      <text>
        <t>Для сценариев пользователь задал 50 мм.</t>
      </text>
    </comment>
    <comment ref="G26" authorId="0" shapeId="0">
      <text>
        <t>Целевой лимит высоты штабеля/палеты.</t>
      </text>
    </comment>
    <comment ref="G27" authorId="0" shapeId="0">
      <text>
        <t>Типовой европоддон ~144 мм.</t>
      </text>
    </comment>
    <comment ref="G28" authorId="0" shapeId="0">
      <text>
        <t>Введите фактическое количество пачек на поддоне для расчёта удельной стоимости поддона и обвязки.</t>
      </text>
    </comment>
    <comment ref="G29" authorId="0" shapeId="0">
      <text>
        <t>Материалы индивидуальной упаковки пачки.</t>
      </text>
    </comment>
    <comment ref="G30" authorId="0" shapeId="0">
      <text>
        <t>Если поддоны возвращаемые — учтите иначе.</t>
      </text>
    </comment>
    <comment ref="G31" authorId="0" shapeId="0">
      <text>
        <t>Стрейч, лента, уголки.</t>
      </text>
    </comment>
    <comment ref="G32" authorId="0" shapeId="0">
      <text>
        <t>Если хотите учитывать труд упаковки — задайте руб/пачка.</t>
      </text>
    </comment>
    <comment ref="C34" authorId="0" shapeId="0">
      <text>
        <t>V = L·W·t</t>
      </text>
    </comment>
    <comment ref="B37" authorId="0" shapeId="0">
      <text>
        <t>Список сценариев. Можно менять/расширять.</t>
      </text>
    </comment>
    <comment ref="C37" authorId="0" shapeId="0">
      <text>
        <t>Список сценариев. Можно менять/расширять.</t>
      </text>
    </comment>
    <comment ref="D37" authorId="0" shapeId="0">
      <text>
        <t>Список сценариев. Можно менять/расширять.</t>
      </text>
    </comment>
    <comment ref="E37" authorId="0" shapeId="0">
      <text>
        <t>Список сценариев. Можно менять/расширять.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C8" authorId="0" shapeId="0">
      <text>
        <t>m_wet = (x_org·1000)/(S·η)</t>
      </text>
    </comment>
    <comment ref="C16" authorId="0" shapeId="0">
      <text>
        <t>C_fixed_t = (C_fixed_h / Qm) / Y</t>
      </text>
    </comment>
    <comment ref="F16" authorId="0" shapeId="0">
      <text>
        <t>C_var_t = (C_var_ex + C_resin) / Y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topLeftCell="A16" workbookViewId="0">
      <selection activeCell="G28" sqref="G28"/>
    </sheetView>
  </sheetViews>
  <sheetFormatPr baseColWidth="8" defaultRowHeight="14.5"/>
  <cols>
    <col width="32" customWidth="1" style="24" min="1" max="1"/>
    <col width="22" customWidth="1" style="24" min="2" max="2"/>
    <col width="18" customWidth="1" style="24" min="3" max="4"/>
    <col width="31.7265625" customWidth="1" style="24" min="5" max="5"/>
    <col width="18" customWidth="1" style="24" min="6" max="8"/>
  </cols>
  <sheetData>
    <row r="1" ht="28" customHeight="1" s="24">
      <c r="A1" s="27" t="inlineStr">
        <is>
          <t>Модель себестоимости минеральной ваты (без подгонки под таргет)</t>
        </is>
      </c>
    </row>
    <row r="2" ht="36" customHeight="1" s="24">
      <c r="A2" s="26" t="inlineStr">
        <is>
          <t>Все синие поля — ввод пользователя. Чёрные — формулы. Упаковка считается отдельным блоком; её можно включать/выключать в сценариях.</t>
        </is>
      </c>
    </row>
    <row r="4" ht="20" customHeight="1" s="24">
      <c r="A4" s="25" t="inlineStr">
        <is>
          <t>1) Продукт и производство</t>
        </is>
      </c>
    </row>
    <row r="5">
      <c r="A5" s="2" t="inlineStr">
        <is>
          <t>Производительность по массе Qm</t>
        </is>
      </c>
      <c r="B5" s="3" t="inlineStr">
        <is>
          <t>т/ч</t>
        </is>
      </c>
      <c r="C5" s="4" t="n">
        <v>4</v>
      </c>
    </row>
    <row r="6">
      <c r="A6" s="2" t="inlineStr">
        <is>
          <t>Выход годной продукции Y</t>
        </is>
      </c>
      <c r="B6" s="3" t="inlineStr">
        <is>
          <t>доля</t>
        </is>
      </c>
      <c r="C6" s="4" t="n">
        <v>0.97</v>
      </c>
    </row>
    <row r="7" ht="29" customHeight="1" s="24">
      <c r="A7" s="2" t="inlineStr">
        <is>
          <t>Доля сухой органики в продукте (LOI)</t>
        </is>
      </c>
      <c r="B7" s="3" t="inlineStr">
        <is>
          <t>% масс.</t>
        </is>
      </c>
      <c r="C7" s="4" t="n">
        <v>4.5</v>
      </c>
    </row>
    <row r="8">
      <c r="A8" s="2" t="inlineStr">
        <is>
          <t>Цена смолы (как поставляется)</t>
        </is>
      </c>
      <c r="B8" s="3" t="inlineStr">
        <is>
          <t>руб/т</t>
        </is>
      </c>
      <c r="C8" s="4" t="n">
        <v>60000</v>
      </c>
    </row>
    <row r="9">
      <c r="A9" s="2" t="inlineStr">
        <is>
          <t>Сухой остаток смолы S</t>
        </is>
      </c>
      <c r="B9" s="3" t="inlineStr">
        <is>
          <t>доля</t>
        </is>
      </c>
      <c r="C9" s="4" t="n">
        <v>0.5</v>
      </c>
    </row>
    <row r="10">
      <c r="A10" s="2" t="inlineStr">
        <is>
          <t>Эффективность нанесения η</t>
        </is>
      </c>
      <c r="B10" s="3" t="inlineStr">
        <is>
          <t>доля</t>
        </is>
      </c>
      <c r="C10" s="4" t="n">
        <v>0.95</v>
      </c>
    </row>
    <row r="11">
      <c r="A11" s="2" t="inlineStr">
        <is>
          <t>Доля сухой органики x_org</t>
        </is>
      </c>
      <c r="B11" s="3" t="inlineStr">
        <is>
          <t>доля</t>
        </is>
      </c>
      <c r="C11" s="5">
        <f>C7/100</f>
        <v/>
      </c>
    </row>
    <row r="12" ht="6" customHeight="1" s="24"/>
    <row r="13">
      <c r="A13" s="25" t="inlineStr">
        <is>
          <t>2) Затраты (вводная структура)</t>
        </is>
      </c>
    </row>
    <row r="14">
      <c r="A14" s="23" t="inlineStr">
        <is>
          <t>2.1 Постоянные/условно‑постоянные (руб/ч)</t>
        </is>
      </c>
      <c r="E14" s="23" t="inlineStr">
        <is>
          <t>2.2 Переменные на тонну (руб/т)</t>
        </is>
      </c>
    </row>
    <row r="15" ht="29" customHeight="1" s="24">
      <c r="A15" s="2" t="inlineStr">
        <is>
          <t>ФОТ производства (смена)</t>
        </is>
      </c>
      <c r="B15" s="3" t="inlineStr">
        <is>
          <t>руб/ч</t>
        </is>
      </c>
      <c r="C15" s="6" t="n">
        <v>35000</v>
      </c>
      <c r="E15" s="2" t="inlineStr">
        <is>
          <t>Шихта/сырьё без смолы</t>
        </is>
      </c>
      <c r="F15" s="3" t="inlineStr">
        <is>
          <t>руб/т</t>
        </is>
      </c>
      <c r="G15" s="6" t="n">
        <v>18000</v>
      </c>
    </row>
    <row r="16" ht="29" customHeight="1" s="24">
      <c r="A16" s="2" t="inlineStr">
        <is>
          <t>Цеховые накладные</t>
        </is>
      </c>
      <c r="B16" s="3" t="inlineStr">
        <is>
          <t>руб/ч</t>
        </is>
      </c>
      <c r="C16" s="6" t="n">
        <v>20000</v>
      </c>
      <c r="E16" s="2" t="inlineStr">
        <is>
          <t>Энергия (газ+электро)</t>
        </is>
      </c>
      <c r="F16" s="3" t="inlineStr">
        <is>
          <t>руб/т</t>
        </is>
      </c>
      <c r="G16" s="6" t="n">
        <v>12000</v>
      </c>
    </row>
    <row r="17" ht="29" customHeight="1" s="24">
      <c r="A17" s="2" t="inlineStr">
        <is>
          <t>Ремонт/обслуживание (пул)</t>
        </is>
      </c>
      <c r="B17" s="3" t="inlineStr">
        <is>
          <t>руб/ч</t>
        </is>
      </c>
      <c r="C17" s="6" t="n">
        <v>8000</v>
      </c>
      <c r="E17" s="2" t="inlineStr">
        <is>
          <t>Расходники на выпуск</t>
        </is>
      </c>
      <c r="F17" s="3" t="inlineStr">
        <is>
          <t>руб/т</t>
        </is>
      </c>
      <c r="G17" s="6" t="n">
        <v>2500</v>
      </c>
    </row>
    <row r="18" ht="29" customHeight="1" s="24">
      <c r="A18" s="2" t="inlineStr">
        <is>
          <t>Амортизация/лизинг</t>
        </is>
      </c>
      <c r="B18" s="3" t="inlineStr">
        <is>
          <t>руб/ч</t>
        </is>
      </c>
      <c r="C18" s="6" t="n">
        <v>12000</v>
      </c>
      <c r="E18" s="2" t="inlineStr">
        <is>
          <t>Прочие переменные</t>
        </is>
      </c>
      <c r="F18" s="3" t="inlineStr">
        <is>
          <t>руб/т</t>
        </is>
      </c>
      <c r="G18" s="6" t="n">
        <v>1000</v>
      </c>
    </row>
    <row r="19">
      <c r="A19" s="2" t="inlineStr">
        <is>
          <t>Прочие фиксированные</t>
        </is>
      </c>
      <c r="B19" s="3" t="inlineStr">
        <is>
          <t>руб/ч</t>
        </is>
      </c>
      <c r="C19" s="6" t="n">
        <v>5000</v>
      </c>
      <c r="E19" s="7" t="inlineStr">
        <is>
          <t>ИТОГО переменные (без смолы)</t>
        </is>
      </c>
      <c r="G19" s="8">
        <f>SUM(G15:G18)</f>
        <v/>
      </c>
    </row>
    <row r="20">
      <c r="A20" s="7" t="inlineStr">
        <is>
          <t>ИТОГО фиксированные</t>
        </is>
      </c>
      <c r="C20" s="8">
        <f>SUM(C15:C19)</f>
        <v/>
      </c>
    </row>
    <row r="22">
      <c r="A22" s="25" t="inlineStr">
        <is>
          <t>3) Геометрия плит и упаковка (в пачки)</t>
        </is>
      </c>
    </row>
    <row r="23">
      <c r="A23" s="23" t="inlineStr">
        <is>
          <t>3.1 Геометрия</t>
        </is>
      </c>
      <c r="E23" s="23" t="inlineStr">
        <is>
          <t>3.2 Параметры упаковки</t>
        </is>
      </c>
    </row>
    <row r="24">
      <c r="A24" t="inlineStr">
        <is>
          <t>Длина плиты L</t>
        </is>
      </c>
      <c r="B24" s="3" t="inlineStr">
        <is>
          <t>м</t>
        </is>
      </c>
      <c r="C24" s="9" t="n">
        <v>1.2</v>
      </c>
      <c r="E24" t="inlineStr">
        <is>
          <t>Макс. высота пачки h_pack_max</t>
        </is>
      </c>
      <c r="F24" s="3" t="inlineStr">
        <is>
          <t>м</t>
        </is>
      </c>
      <c r="G24" s="9" t="n">
        <v>0.6</v>
      </c>
    </row>
    <row r="25">
      <c r="A25" t="inlineStr">
        <is>
          <t>Ширина плиты W</t>
        </is>
      </c>
      <c r="B25" s="3" t="inlineStr">
        <is>
          <t>м</t>
        </is>
      </c>
      <c r="C25" s="9" t="n">
        <v>0.6</v>
      </c>
      <c r="E25" t="inlineStr">
        <is>
          <t>Макс. масса пачки m_pack_max</t>
        </is>
      </c>
      <c r="F25" s="3" t="inlineStr">
        <is>
          <t>кг</t>
        </is>
      </c>
      <c r="G25" s="9" t="n">
        <v>25</v>
      </c>
    </row>
    <row r="26">
      <c r="A26" t="inlineStr">
        <is>
          <t>Толщина плиты t</t>
        </is>
      </c>
      <c r="B26" s="3" t="inlineStr">
        <is>
          <t>м</t>
        </is>
      </c>
      <c r="C26" s="9" t="n">
        <v>0.05</v>
      </c>
      <c r="E26" t="inlineStr">
        <is>
          <t>Макс. высота палеты H_pallet_max</t>
        </is>
      </c>
      <c r="F26" s="3" t="inlineStr">
        <is>
          <t>м</t>
        </is>
      </c>
      <c r="G26" s="9" t="n">
        <v>2.4</v>
      </c>
    </row>
    <row r="27">
      <c r="E27" t="inlineStr">
        <is>
          <t>Высота поддона h_pallet</t>
        </is>
      </c>
      <c r="F27" s="3" t="inlineStr">
        <is>
          <t>м</t>
        </is>
      </c>
      <c r="G27" s="9" t="n">
        <v>0.15</v>
      </c>
    </row>
    <row r="28" ht="29" customHeight="1" s="24">
      <c r="E28" s="2" t="inlineStr">
        <is>
          <t>Пачек на поддон N_pallet</t>
        </is>
      </c>
      <c r="F28" s="3" t="inlineStr">
        <is>
          <t>пачек/поддон</t>
        </is>
      </c>
      <c r="G28" s="10" t="n">
        <v>12</v>
      </c>
    </row>
    <row r="29">
      <c r="E29" t="inlineStr">
        <is>
          <t>Стоимость плёнки/маркировки</t>
        </is>
      </c>
      <c r="F29" s="3" t="inlineStr">
        <is>
          <t>руб/пачка</t>
        </is>
      </c>
      <c r="G29" s="6">
        <f>Упаковка!F7</f>
        <v/>
      </c>
    </row>
    <row r="30">
      <c r="E30" t="inlineStr">
        <is>
          <t>Стоимость поддона</t>
        </is>
      </c>
      <c r="F30" s="3" t="inlineStr">
        <is>
          <t>руб/поддон</t>
        </is>
      </c>
      <c r="G30" s="6" t="n">
        <v>1500</v>
      </c>
    </row>
    <row r="31">
      <c r="E31" t="inlineStr">
        <is>
          <t>Обвязка/стрейч палеты</t>
        </is>
      </c>
      <c r="F31" s="3" t="inlineStr">
        <is>
          <t>руб/палета</t>
        </is>
      </c>
      <c r="G31" s="6" t="n">
        <v>80</v>
      </c>
    </row>
    <row r="32">
      <c r="E32" t="inlineStr">
        <is>
          <t>Упаковка: труд</t>
        </is>
      </c>
      <c r="F32" s="3" t="inlineStr">
        <is>
          <t>руб/пачка</t>
        </is>
      </c>
      <c r="G32" s="6" t="n">
        <v>0</v>
      </c>
    </row>
    <row r="34">
      <c r="A34" s="7" t="inlineStr">
        <is>
          <t>Объём плиты V_plate</t>
        </is>
      </c>
      <c r="B34" s="3" t="inlineStr">
        <is>
          <t>м³</t>
        </is>
      </c>
      <c r="C34" s="11">
        <f>C24*C25*C26</f>
        <v/>
      </c>
    </row>
    <row r="35"/>
    <row r="36">
      <c r="A36" s="25" t="inlineStr">
        <is>
          <t>4) Сценарии плотности (ρ)</t>
        </is>
      </c>
    </row>
    <row r="37">
      <c r="A37" s="7" t="inlineStr">
        <is>
          <t>Плотности (кг/м³)</t>
        </is>
      </c>
      <c r="B37" s="10" t="n">
        <v>50</v>
      </c>
      <c r="C37" s="10" t="n">
        <v>100</v>
      </c>
      <c r="D37" s="10" t="n">
        <v>150</v>
      </c>
      <c r="E37" s="10" t="n">
        <v>200</v>
      </c>
    </row>
    <row r="38" ht="34" customHeight="1" s="24"/>
    <row r="39" ht="65" customHeight="1" s="24">
      <c r="A39" s="12" t="inlineStr">
        <is>
          <t>Примечание по умолчаниям: числа в блоках затрат поставлены как реалистичные заглушки для оценки. Замените их на фактические нормы/цены/учётные данные.</t>
        </is>
      </c>
    </row>
  </sheetData>
  <mergeCells count="11">
    <mergeCell ref="E14:H14"/>
    <mergeCell ref="A4:H4"/>
    <mergeCell ref="A23:D23"/>
    <mergeCell ref="E23:H23"/>
    <mergeCell ref="A35:H35"/>
    <mergeCell ref="A38:H38"/>
    <mergeCell ref="A2:H2"/>
    <mergeCell ref="A22:H22"/>
    <mergeCell ref="A13:H13"/>
    <mergeCell ref="A1:H1"/>
    <mergeCell ref="A14:D14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tabSelected="1" workbookViewId="0">
      <selection activeCell="C22" sqref="C22"/>
    </sheetView>
  </sheetViews>
  <sheetFormatPr baseColWidth="8" defaultRowHeight="14.5"/>
  <cols>
    <col width="34" customWidth="1" style="24" min="1" max="1"/>
    <col width="18" customWidth="1" style="24" min="2" max="3"/>
    <col width="33.08984375" customWidth="1" style="24" min="4" max="4"/>
    <col width="18" customWidth="1" style="24" min="5" max="6"/>
  </cols>
  <sheetData>
    <row r="1" ht="18.5" customHeight="1" s="24">
      <c r="A1" s="27" t="inlineStr">
        <is>
          <t>Себестоимость производства (без упаковки) — расчёт на 1 т товарной ваты</t>
        </is>
      </c>
    </row>
    <row r="2" ht="28" customHeight="1" s="24">
      <c r="A2" s="26" t="inlineStr">
        <is>
          <t>Все входные берутся с листа «Вводные». Здесь показана декомпозиция по блокам и итог.</t>
        </is>
      </c>
    </row>
    <row r="4">
      <c r="A4" s="29" t="inlineStr">
        <is>
          <t>1) Смола (расчёт по сухому остатку)</t>
        </is>
      </c>
    </row>
    <row r="5">
      <c r="A5" t="inlineStr">
        <is>
          <t>Доля сухой органики x_org</t>
        </is>
      </c>
      <c r="B5" s="3" t="inlineStr">
        <is>
          <t>доля</t>
        </is>
      </c>
      <c r="C5" s="5">
        <f>Вводные!C11</f>
        <v/>
      </c>
    </row>
    <row r="6">
      <c r="A6" t="inlineStr">
        <is>
          <t>Сухой остаток смолы S</t>
        </is>
      </c>
      <c r="B6" s="3" t="inlineStr">
        <is>
          <t>доля</t>
        </is>
      </c>
      <c r="C6" s="13">
        <f>Вводные!C9</f>
        <v/>
      </c>
    </row>
    <row r="7">
      <c r="A7" t="inlineStr">
        <is>
          <t>Эффективность нанесения η</t>
        </is>
      </c>
      <c r="B7" s="3" t="inlineStr">
        <is>
          <t>доля</t>
        </is>
      </c>
      <c r="C7" s="13">
        <f>Вводные!C10</f>
        <v/>
      </c>
    </row>
    <row r="8">
      <c r="A8" t="inlineStr">
        <is>
          <t>Расход смолы (как поставляется)</t>
        </is>
      </c>
      <c r="B8" s="3" t="inlineStr">
        <is>
          <t>кг/т</t>
        </is>
      </c>
      <c r="C8" s="14">
        <f>1000* C5/(C6*C7)</f>
        <v/>
      </c>
    </row>
    <row r="9">
      <c r="A9" t="inlineStr">
        <is>
          <t>Цена смолы</t>
        </is>
      </c>
      <c r="B9" s="3" t="inlineStr">
        <is>
          <t>руб/т</t>
        </is>
      </c>
      <c r="C9" s="8">
        <f>Вводные!C8</f>
        <v/>
      </c>
    </row>
    <row r="10">
      <c r="A10" t="inlineStr">
        <is>
          <t>Стоимость смолы</t>
        </is>
      </c>
      <c r="B10" s="3" t="inlineStr">
        <is>
          <t>руб/т</t>
        </is>
      </c>
      <c r="C10" s="8">
        <f>C8/1000*C9</f>
        <v/>
      </c>
    </row>
    <row r="12">
      <c r="A12" s="29" t="inlineStr">
        <is>
          <t>2) Затраты (по блокам)</t>
        </is>
      </c>
    </row>
    <row r="13">
      <c r="A13" s="7" t="inlineStr">
        <is>
          <t>Фиксированные затраты</t>
        </is>
      </c>
      <c r="B13" s="3" t="inlineStr">
        <is>
          <t>руб/ч</t>
        </is>
      </c>
      <c r="C13" s="8">
        <f>Вводные!C20</f>
        <v/>
      </c>
      <c r="D13" s="7" t="inlineStr">
        <is>
          <t>Переменные (без смолы)</t>
        </is>
      </c>
      <c r="E13" s="3" t="inlineStr">
        <is>
          <t>руб/т</t>
        </is>
      </c>
      <c r="F13" s="8">
        <f>Вводные!G19</f>
        <v/>
      </c>
    </row>
    <row r="14">
      <c r="A14" t="inlineStr">
        <is>
          <t>Производительность Qm</t>
        </is>
      </c>
      <c r="B14" s="3" t="inlineStr">
        <is>
          <t>т/ч</t>
        </is>
      </c>
      <c r="C14" s="13">
        <f>Вводные!C5</f>
        <v/>
      </c>
      <c r="D14" t="inlineStr">
        <is>
          <t>Смола</t>
        </is>
      </c>
      <c r="E14" s="3" t="inlineStr">
        <is>
          <t>руб/т</t>
        </is>
      </c>
      <c r="F14" s="8">
        <f>C10</f>
        <v/>
      </c>
    </row>
    <row r="15">
      <c r="A15" t="inlineStr">
        <is>
          <t>Выход годной Y</t>
        </is>
      </c>
      <c r="B15" s="3" t="inlineStr">
        <is>
          <t>доля</t>
        </is>
      </c>
      <c r="C15" s="13">
        <f>Вводные!C6</f>
        <v/>
      </c>
      <c r="D15" s="7" t="inlineStr">
        <is>
          <t>Переменные всего</t>
        </is>
      </c>
      <c r="E15" s="3" t="inlineStr">
        <is>
          <t>руб/т</t>
        </is>
      </c>
      <c r="F15" s="8">
        <f>F13+F14</f>
        <v/>
      </c>
    </row>
    <row r="16">
      <c r="A16" t="inlineStr">
        <is>
          <t>Фиксированные на 1 т (с учётом Y)</t>
        </is>
      </c>
      <c r="B16" s="3" t="inlineStr">
        <is>
          <t>руб/т</t>
        </is>
      </c>
      <c r="C16" s="8">
        <f>C13/C14/C15</f>
        <v/>
      </c>
      <c r="D16" t="inlineStr">
        <is>
          <t>Переменные на 1 т (с учётом Y)</t>
        </is>
      </c>
      <c r="E16" s="3" t="inlineStr">
        <is>
          <t>руб/т</t>
        </is>
      </c>
      <c r="F16" s="8">
        <f>F15/C15</f>
        <v/>
      </c>
    </row>
    <row r="18" ht="15.5" customHeight="1" s="24">
      <c r="A18" s="28" t="inlineStr">
        <is>
          <t>ИТОГО себестоимость производства (без упаковки)</t>
        </is>
      </c>
      <c r="D18" s="15" t="inlineStr">
        <is>
          <t>руб/т</t>
        </is>
      </c>
      <c r="E18" s="31">
        <f>C16+F16</f>
        <v/>
      </c>
      <c r="F18" s="35" t="n"/>
    </row>
    <row r="20">
      <c r="A20" s="30" t="inlineStr">
        <is>
          <t>Формула: C_prod_t = (C_fixed_h / Qm)/Y + (C_var_ex + C_resin)/Y</t>
        </is>
      </c>
    </row>
  </sheetData>
  <mergeCells count="7">
    <mergeCell ref="A2:F2"/>
    <mergeCell ref="A1:F1"/>
    <mergeCell ref="A18:C18"/>
    <mergeCell ref="A12:F12"/>
    <mergeCell ref="A4:F4"/>
    <mergeCell ref="A20:F20"/>
    <mergeCell ref="E18:F18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N5" sqref="N5"/>
    </sheetView>
  </sheetViews>
  <sheetFormatPr baseColWidth="8" defaultRowHeight="14.5"/>
  <cols>
    <col width="10" customWidth="1" style="24" min="1" max="1"/>
    <col width="8" customWidth="1" style="24" min="2" max="2"/>
    <col width="12" customWidth="1" style="24" min="3" max="4"/>
    <col width="14" customWidth="1" style="24" min="5" max="7"/>
    <col width="10" customWidth="1" style="24" min="8" max="8"/>
    <col width="12" customWidth="1" style="24" min="9" max="10"/>
    <col width="10" customWidth="1" style="24" min="11" max="12"/>
    <col width="12" customWidth="1" style="24" min="13" max="14"/>
    <col width="14" customWidth="1" style="24" min="15" max="16"/>
    <col width="12" customWidth="1" style="24" min="17" max="18"/>
  </cols>
  <sheetData>
    <row r="1" ht="18.5" customHeight="1" s="24">
      <c r="A1" s="27" t="inlineStr">
        <is>
          <t>Сценарии по плотности: пересчёт в руб/м³ и упаковка в пачки</t>
        </is>
      </c>
    </row>
    <row r="2" ht="30" customHeight="1" s="24">
      <c r="A2" s="26" t="inlineStr">
        <is>
          <t>Упаковка как производственный расход считается отдельно. Если нужно считать только «без упаковки» — смотрите колонки C_prod, руб/м³ и C_prod, руб/пачка.</t>
        </is>
      </c>
    </row>
    <row r="4" ht="40" customHeight="1" s="24">
      <c r="A4" s="16" t="inlineStr">
        <is>
          <t>ρ, кг/м³</t>
        </is>
      </c>
      <c r="B4" s="16" t="inlineStr">
        <is>
          <t>t, м</t>
        </is>
      </c>
      <c r="C4" s="16" t="inlineStr">
        <is>
          <t>V плиты, м³</t>
        </is>
      </c>
      <c r="D4" s="16" t="inlineStr">
        <is>
          <t>m плиты, кг</t>
        </is>
      </c>
      <c r="E4" s="16" t="inlineStr">
        <is>
          <t>Плит/пачка (по высоте)</t>
        </is>
      </c>
      <c r="F4" s="16" t="inlineStr">
        <is>
          <t>Плит/пачка (по массе)</t>
        </is>
      </c>
      <c r="G4" s="16" t="inlineStr">
        <is>
          <t>Плит/пачка (итог)</t>
        </is>
      </c>
      <c r="H4" s="16" t="inlineStr">
        <is>
          <t>h пачки, м</t>
        </is>
      </c>
      <c r="I4" s="16" t="inlineStr">
        <is>
          <t>m пачки, кг</t>
        </is>
      </c>
      <c r="J4" s="16" t="inlineStr">
        <is>
          <t>V пачки, м³</t>
        </is>
      </c>
      <c r="K4" s="16" t="inlineStr">
        <is>
          <t>Пачек/м³</t>
        </is>
      </c>
      <c r="L4" s="16" t="inlineStr">
        <is>
          <t>Пачек/т</t>
        </is>
      </c>
      <c r="M4" s="16" t="inlineStr">
        <is>
          <t>C_prod, руб/т</t>
        </is>
      </c>
      <c r="N4" s="16" t="inlineStr">
        <is>
          <t>C_prod, руб/м³</t>
        </is>
      </c>
      <c r="O4" s="16" t="inlineStr">
        <is>
          <t>C_prod, руб/пачка</t>
        </is>
      </c>
      <c r="P4" s="16" t="inlineStr">
        <is>
          <t>Упаковка, руб/пачка</t>
        </is>
      </c>
      <c r="Q4" s="16" t="inlineStr">
        <is>
          <t>Упаковка, руб/м³</t>
        </is>
      </c>
      <c r="R4" s="16" t="inlineStr">
        <is>
          <t>ИТОГО, руб/м³</t>
        </is>
      </c>
    </row>
    <row r="5">
      <c r="A5" s="17">
        <f>Вводные!B37</f>
        <v/>
      </c>
      <c r="B5" s="18">
        <f>Вводные!C26</f>
        <v/>
      </c>
      <c r="C5" s="19">
        <f>Вводные!C24*Вводные!C25*Вводные!C26</f>
        <v/>
      </c>
      <c r="D5" s="20">
        <f>C5*A5</f>
        <v/>
      </c>
      <c r="E5" s="17">
        <f>ROUNDDOWN(ROUND(Вводные!G24/B5,6),0)</f>
        <v/>
      </c>
      <c r="F5" s="17">
        <f>ROUNDDOWN(ROUND(Вводные!G25/D5,6),0)</f>
        <v/>
      </c>
      <c r="G5" s="17">
        <f>MAX(1,MIN(E5,F5))</f>
        <v/>
      </c>
      <c r="H5" s="18">
        <f>G5*B5</f>
        <v/>
      </c>
      <c r="I5" s="20">
        <f>G5*D5</f>
        <v/>
      </c>
      <c r="J5" s="19">
        <f>G5*C5</f>
        <v/>
      </c>
      <c r="K5" s="20">
        <f>1/J5</f>
        <v/>
      </c>
      <c r="L5" s="20">
        <f>(1000/A5)/J5</f>
        <v/>
      </c>
      <c r="M5" s="21">
        <f>Себестоимость_т!E18</f>
        <v/>
      </c>
      <c r="N5" s="21">
        <f>M5*A5/1000</f>
        <v/>
      </c>
      <c r="O5" s="21">
        <f>N5*J5</f>
        <v/>
      </c>
      <c r="P5" s="21">
        <f>Упаковка!$F$10</f>
        <v/>
      </c>
      <c r="Q5" s="21">
        <f>P5*K5</f>
        <v/>
      </c>
      <c r="R5" s="21">
        <f>N5+Q5</f>
        <v/>
      </c>
    </row>
    <row r="6">
      <c r="A6" s="17">
        <f>Вводные!C37</f>
        <v/>
      </c>
      <c r="B6" s="18">
        <f>Вводные!C26</f>
        <v/>
      </c>
      <c r="C6" s="19">
        <f>Вводные!C24*Вводные!C25*Вводные!C26</f>
        <v/>
      </c>
      <c r="D6" s="20">
        <f>C6*A6</f>
        <v/>
      </c>
      <c r="E6" s="17">
        <f>ROUNDDOWN(ROUND(Вводные!G24/B6,6),0)</f>
        <v/>
      </c>
      <c r="F6" s="17">
        <f>ROUNDDOWN(ROUND(Вводные!G25/D6,6),0)</f>
        <v/>
      </c>
      <c r="G6" s="17">
        <f>MAX(1,MIN(E6,F6))</f>
        <v/>
      </c>
      <c r="H6" s="18">
        <f>G6*B6</f>
        <v/>
      </c>
      <c r="I6" s="20">
        <f>G6*D6</f>
        <v/>
      </c>
      <c r="J6" s="19">
        <f>G6*C6</f>
        <v/>
      </c>
      <c r="K6" s="20">
        <f>1/J6</f>
        <v/>
      </c>
      <c r="L6" s="20">
        <f>(1000/A6)/J6</f>
        <v/>
      </c>
      <c r="M6" s="21">
        <f>Себестоимость_т!E18</f>
        <v/>
      </c>
      <c r="N6" s="21">
        <f>M6*A6/1000</f>
        <v/>
      </c>
      <c r="O6" s="21">
        <f>N6*J6</f>
        <v/>
      </c>
      <c r="P6" s="21">
        <f>Упаковка!$F$10</f>
        <v/>
      </c>
      <c r="Q6" s="21">
        <f>P6*K6</f>
        <v/>
      </c>
      <c r="R6" s="21">
        <f>N6+Q6</f>
        <v/>
      </c>
    </row>
    <row r="7">
      <c r="A7" s="17">
        <f>Вводные!D37</f>
        <v/>
      </c>
      <c r="B7" s="18">
        <f>Вводные!C26</f>
        <v/>
      </c>
      <c r="C7" s="19">
        <f>Вводные!C24*Вводные!C25*Вводные!C26</f>
        <v/>
      </c>
      <c r="D7" s="20">
        <f>C7*A7</f>
        <v/>
      </c>
      <c r="E7" s="17">
        <f>ROUNDDOWN(ROUND(Вводные!G24/B7,6),0)</f>
        <v/>
      </c>
      <c r="F7" s="17">
        <f>ROUNDDOWN(ROUND(Вводные!G25/D7,6),0)</f>
        <v/>
      </c>
      <c r="G7" s="17">
        <f>MAX(1,MIN(E7,F7))</f>
        <v/>
      </c>
      <c r="H7" s="18">
        <f>G7*B7</f>
        <v/>
      </c>
      <c r="I7" s="20">
        <f>G7*D7</f>
        <v/>
      </c>
      <c r="J7" s="19">
        <f>G7*C7</f>
        <v/>
      </c>
      <c r="K7" s="20">
        <f>1/J7</f>
        <v/>
      </c>
      <c r="L7" s="20">
        <f>(1000/A7)/J7</f>
        <v/>
      </c>
      <c r="M7" s="21">
        <f>Себестоимость_т!E18</f>
        <v/>
      </c>
      <c r="N7" s="21">
        <f>M7*A7/1000</f>
        <v/>
      </c>
      <c r="O7" s="21">
        <f>N7*J7</f>
        <v/>
      </c>
      <c r="P7" s="21">
        <f>Упаковка!$F$10</f>
        <v/>
      </c>
      <c r="Q7" s="21">
        <f>P7*K7</f>
        <v/>
      </c>
      <c r="R7" s="21">
        <f>N7+Q7</f>
        <v/>
      </c>
    </row>
    <row r="8">
      <c r="A8" s="17">
        <f>Вводные!E37</f>
        <v/>
      </c>
      <c r="B8" s="18">
        <f>Вводные!C26</f>
        <v/>
      </c>
      <c r="C8" s="19">
        <f>Вводные!C24*Вводные!C25*Вводные!C26</f>
        <v/>
      </c>
      <c r="D8" s="20">
        <f>C8*A8</f>
        <v/>
      </c>
      <c r="E8" s="17">
        <f>ROUNDDOWN(ROUND(Вводные!G24/B8,6),0)</f>
        <v/>
      </c>
      <c r="F8" s="17">
        <f>ROUNDDOWN(ROUND(Вводные!G25/D8,6),0)</f>
        <v/>
      </c>
      <c r="G8" s="17">
        <f>MAX(1,MIN(E8,F8))</f>
        <v/>
      </c>
      <c r="H8" s="18">
        <f>G8*B8</f>
        <v/>
      </c>
      <c r="I8" s="20">
        <f>G8*D8</f>
        <v/>
      </c>
      <c r="J8" s="19">
        <f>G8*C8</f>
        <v/>
      </c>
      <c r="K8" s="20">
        <f>1/J8</f>
        <v/>
      </c>
      <c r="L8" s="20">
        <f>(1000/A8)/J8</f>
        <v/>
      </c>
      <c r="M8" s="21">
        <f>Себестоимость_т!E18</f>
        <v/>
      </c>
      <c r="N8" s="21">
        <f>M8*A8/1000</f>
        <v/>
      </c>
      <c r="O8" s="21">
        <f>N8*J8</f>
        <v/>
      </c>
      <c r="P8" s="21">
        <f>Упаковка!$F$10</f>
        <v/>
      </c>
      <c r="Q8" s="21">
        <f>P8*K8</f>
        <v/>
      </c>
      <c r="R8" s="21">
        <f>N8+Q8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>
        <f>Упаковка!$F$10</f>
        <v/>
      </c>
      <c r="Q9" s="22" t="n"/>
      <c r="R9" s="22" t="n"/>
    </row>
    <row r="10" ht="32" customHeight="1" s="24">
      <c r="A10" s="33" t="inlineStr">
        <is>
          <t>Примечание: «Пачек на поддон N_pallet» задаётся вручную (вводные). Без этой цифры невозможно корректно распределить стоимость поддона/обвязки по пачкам.</t>
        </is>
      </c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5" t="n"/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</row>
  </sheetData>
  <mergeCells count="3">
    <mergeCell ref="A1:R1"/>
    <mergeCell ref="A2:R2"/>
    <mergeCell ref="A10:R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style="24" min="1" max="1"/>
    <col width="35" customWidth="1" style="24" min="5" max="5"/>
    <col width="15" customWidth="1" style="24" min="6" max="6"/>
  </cols>
  <sheetData>
    <row r="1">
      <c r="A1" s="37" t="inlineStr">
        <is>
          <t>РАСЧЕТ И АНАЛИЗ СТОИМОСТИ УПАКОВКИ</t>
        </is>
      </c>
    </row>
    <row r="3">
      <c r="A3" s="38" t="inlineStr">
        <is>
          <t>1. Входные параметры</t>
        </is>
      </c>
      <c r="E3" s="38" t="inlineStr">
        <is>
          <t>2. Расчет себестоимости (на 1 пачку)</t>
        </is>
      </c>
    </row>
    <row r="4">
      <c r="A4" t="inlineStr">
        <is>
          <t>Длина плиты, L</t>
        </is>
      </c>
      <c r="B4" t="inlineStr">
        <is>
          <t>мм</t>
        </is>
      </c>
      <c r="C4" s="39">
        <f>'Вводные'!C24*1000</f>
        <v/>
      </c>
      <c r="E4" t="inlineStr">
        <is>
          <t>Высота пачки</t>
        </is>
      </c>
      <c r="F4">
        <f>C6*C7</f>
        <v/>
      </c>
      <c r="G4" t="inlineStr">
        <is>
          <t>мм</t>
        </is>
      </c>
    </row>
    <row r="5">
      <c r="A5" t="inlineStr">
        <is>
          <t>Ширина плиты, W</t>
        </is>
      </c>
      <c r="B5" t="inlineStr">
        <is>
          <t>мм</t>
        </is>
      </c>
      <c r="C5" s="39">
        <f>'Вводные'!C25*1000</f>
        <v/>
      </c>
      <c r="E5" t="inlineStr">
        <is>
          <t>Периметр пачки</t>
        </is>
      </c>
      <c r="F5">
        <f>2*(C4+C5)/1000</f>
        <v/>
      </c>
      <c r="G5" t="inlineStr">
        <is>
          <t>м</t>
        </is>
      </c>
    </row>
    <row r="6">
      <c r="A6" t="inlineStr">
        <is>
          <t>Толщина плиты, t</t>
        </is>
      </c>
      <c r="B6" t="inlineStr">
        <is>
          <t>мм</t>
        </is>
      </c>
      <c r="C6" s="39">
        <f>'Вводные'!C26*1000</f>
        <v/>
      </c>
      <c r="E6" t="inlineStr">
        <is>
          <t>Площадь пленки на пачку</t>
        </is>
      </c>
      <c r="F6">
        <f>F5*(F4/1000)</f>
        <v/>
      </c>
      <c r="G6" t="inlineStr">
        <is>
          <t>м2</t>
        </is>
      </c>
    </row>
    <row r="7">
      <c r="A7" t="inlineStr">
        <is>
          <t>Кол-во плит в пачке</t>
        </is>
      </c>
      <c r="B7" t="inlineStr">
        <is>
          <t>шт</t>
        </is>
      </c>
      <c r="C7" s="39" t="n">
        <v>12</v>
      </c>
      <c r="E7" t="inlineStr">
        <is>
          <t>Стоимость пленки пачки</t>
        </is>
      </c>
      <c r="F7">
        <f>F6*C9</f>
        <v/>
      </c>
      <c r="G7" t="inlineStr">
        <is>
          <t>руб</t>
        </is>
      </c>
    </row>
    <row r="8">
      <c r="A8" t="inlineStr">
        <is>
          <t>Пачек на паллете</t>
        </is>
      </c>
      <c r="B8" t="inlineStr">
        <is>
          <t>шт</t>
        </is>
      </c>
      <c r="C8" s="39">
        <f>'Вводные'!G28</f>
        <v/>
      </c>
      <c r="E8" t="inlineStr">
        <is>
          <t>Доля поддона на пачку</t>
        </is>
      </c>
      <c r="F8">
        <f>C10/C8</f>
        <v/>
      </c>
      <c r="G8" t="inlineStr">
        <is>
          <t>руб</t>
        </is>
      </c>
    </row>
    <row r="9">
      <c r="A9" t="inlineStr">
        <is>
          <t>Цена пленки</t>
        </is>
      </c>
      <c r="B9" t="inlineStr">
        <is>
          <t>руб/м2</t>
        </is>
      </c>
      <c r="C9" s="39" t="n">
        <v>100</v>
      </c>
      <c r="E9" t="inlineStr">
        <is>
          <t>Доля пакета на пачку</t>
        </is>
      </c>
      <c r="F9">
        <f>C11/C8</f>
        <v/>
      </c>
      <c r="G9" t="inlineStr">
        <is>
          <t>руб</t>
        </is>
      </c>
    </row>
    <row r="10">
      <c r="A10" t="inlineStr">
        <is>
          <t>Цена поддона (паллет)</t>
        </is>
      </c>
      <c r="B10" t="inlineStr">
        <is>
          <t>руб/шт</t>
        </is>
      </c>
      <c r="C10" s="39" t="n">
        <v>1500</v>
      </c>
      <c r="E10" t="inlineStr">
        <is>
          <t>ИТОГО упаковка на пачку</t>
        </is>
      </c>
      <c r="F10">
        <f>SUM(F7:F9)</f>
        <v/>
      </c>
      <c r="G10" t="inlineStr">
        <is>
          <t>руб</t>
        </is>
      </c>
    </row>
    <row r="11">
      <c r="A11" t="inlineStr">
        <is>
          <t>Цена большого пакета</t>
        </is>
      </c>
      <c r="B11" t="inlineStr">
        <is>
          <t>руб/шт</t>
        </is>
      </c>
      <c r="C11" s="39" t="n">
        <v>500</v>
      </c>
    </row>
    <row r="14">
      <c r="A14" s="38" t="inlineStr">
        <is>
          <t>3. Анализ структуры затрат (%)</t>
        </is>
      </c>
      <c r="E14" s="38" t="inlineStr">
        <is>
          <t>4. Сравнение сценариев</t>
        </is>
      </c>
    </row>
    <row r="15">
      <c r="A15" t="inlineStr">
        <is>
          <t>Пленка (пачка)</t>
        </is>
      </c>
      <c r="B15" s="40">
        <f>F7/F10</f>
        <v/>
      </c>
      <c r="E15" s="38" t="inlineStr">
        <is>
          <t>Плит</t>
        </is>
      </c>
      <c r="F15" s="38" t="inlineStr">
        <is>
          <t>Высота, мм</t>
        </is>
      </c>
      <c r="G15" s="38" t="inlineStr">
        <is>
          <t>Пленка, руб</t>
        </is>
      </c>
      <c r="H15" s="38" t="inlineStr">
        <is>
          <t>Итого/пачка, руб</t>
        </is>
      </c>
    </row>
    <row r="16">
      <c r="A16" t="inlineStr">
        <is>
          <t>Поддон</t>
        </is>
      </c>
      <c r="B16" s="40">
        <f>F8/F10</f>
        <v/>
      </c>
      <c r="E16" t="n">
        <v>8</v>
      </c>
      <c r="F16">
        <f>E16*C$6</f>
        <v/>
      </c>
      <c r="G16">
        <f>(2*($C$4+$C$5)/1000)*(F16/1000)*$C$9</f>
        <v/>
      </c>
      <c r="H16">
        <f>G16+($C$10+$C$11)/$C$8</f>
        <v/>
      </c>
    </row>
    <row r="17">
      <c r="A17" t="inlineStr">
        <is>
          <t>Большой пакет</t>
        </is>
      </c>
      <c r="B17" s="40">
        <f>F9/F10</f>
        <v/>
      </c>
      <c r="E17" t="n">
        <v>10</v>
      </c>
      <c r="F17">
        <f>E17*C$6</f>
        <v/>
      </c>
      <c r="G17">
        <f>(2*($C$4+$C$5)/1000)*(F17/1000)*$C$9</f>
        <v/>
      </c>
      <c r="H17">
        <f>G17+($C$10+$C$11)/$C$8</f>
        <v/>
      </c>
    </row>
    <row r="18">
      <c r="E18" t="n">
        <v>12</v>
      </c>
      <c r="F18">
        <f>E18*C$6</f>
        <v/>
      </c>
      <c r="G18">
        <f>(2*($C$4+$C$5)/1000)*(F18/1000)*$C$9</f>
        <v/>
      </c>
      <c r="H18">
        <f>G18+($C$10+$C$11)/$C$8</f>
        <v/>
      </c>
    </row>
    <row r="19">
      <c r="E19" t="n">
        <v>14</v>
      </c>
      <c r="F19">
        <f>E19*C$6</f>
        <v/>
      </c>
      <c r="G19">
        <f>(2*($C$4+$C$5)/1000)*(F19/1000)*$C$9</f>
        <v/>
      </c>
      <c r="H19">
        <f>G19+($C$10+$C$11)/$C$8</f>
        <v/>
      </c>
    </row>
    <row r="20">
      <c r="A20" s="38" t="inlineStr">
        <is>
          <t>5. Оптимизация расходов</t>
        </is>
      </c>
      <c r="E20" t="n">
        <v>16</v>
      </c>
      <c r="F20">
        <f>E20*C$6</f>
        <v/>
      </c>
      <c r="G20">
        <f>(2*($C$4+$C$5)/1000)*(F20/1000)*$C$9</f>
        <v/>
      </c>
      <c r="H20">
        <f>G20+($C$10+$C$11)/$C$8</f>
        <v/>
      </c>
    </row>
    <row r="21">
      <c r="A21" t="inlineStr">
        <is>
          <t>Целевая высота пачки (мм)</t>
        </is>
      </c>
      <c r="C21" t="n">
        <v>600</v>
      </c>
    </row>
    <row r="22">
      <c r="A22" t="inlineStr">
        <is>
          <t>Отклонение от цели</t>
        </is>
      </c>
      <c r="C22">
        <f>F4-C21</f>
        <v/>
      </c>
      <c r="E22" s="38" t="inlineStr">
        <is>
          <t>6. Итоговая сводка</t>
        </is>
      </c>
    </row>
    <row r="23">
      <c r="A23" t="inlineStr">
        <is>
          <t>Рекомендация</t>
        </is>
      </c>
      <c r="C23">
        <f>IF(ABS(C22)&gt;50, "Изменить кол-во плит", "Оптимально")</f>
        <v/>
      </c>
      <c r="E23" t="inlineStr">
        <is>
          <t>Стоимость упаковки 1 м3</t>
        </is>
      </c>
      <c r="G23">
        <f>F10/(C4*C5*F4/1000000000)</f>
        <v/>
      </c>
    </row>
    <row r="24">
      <c r="E24" t="inlineStr">
        <is>
          <t>Упаковка на 1 тонну (100кг)</t>
        </is>
      </c>
      <c r="G24">
        <f>G23/0.1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2026-02-18T02:21:31Z</dcterms:created>
  <dcterms:modified xmlns:dcterms="http://purl.org/dc/terms/" xmlns:xsi="http://www.w3.org/2001/XMLSchema-instance" xsi:type="dcterms:W3CDTF">2026-02-18T02:21:31Z</dcterms:modified>
  <cp:lastModifiedBy>Ваган Аветисян</cp:lastModifiedBy>
</cp:coreProperties>
</file>